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defaultThemeVersion="166925"/>
  <mc:AlternateContent xmlns:mc="http://schemas.openxmlformats.org/markup-compatibility/2006">
    <mc:Choice Requires="x15">
      <x15ac:absPath xmlns:x15ac="http://schemas.microsoft.com/office/spreadsheetml/2010/11/ac" url="C:\Users\User\Desktop\Excel_Dashboard\"/>
    </mc:Choice>
  </mc:AlternateContent>
  <xr:revisionPtr revIDLastSave="0" documentId="13_ncr:1_{1536A214-0101-4982-B47F-88242865C79E}" xr6:coauthVersionLast="47" xr6:coauthVersionMax="47" xr10:uidLastSave="{00000000-0000-0000-0000-000000000000}"/>
  <bookViews>
    <workbookView xWindow="-110" yWindow="-110" windowWidth="19420" windowHeight="10300" tabRatio="606" activeTab="1" xr2:uid="{35201E4F-0240-4AB0-A05D-7C4EDDDAAB79}"/>
  </bookViews>
  <sheets>
    <sheet name="Pivot Report" sheetId="1" r:id="rId1"/>
    <sheet name="Dashboard" sheetId="2" r:id="rId2"/>
    <sheet name="Helper_Pivottable" sheetId="3" state="hidden"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b1f0ba5-e8df-43f1-b4c3-8ea880d55fa4" name="Hospital Emergency Room Data" connection="Query - Hospital Emergency Room Data"/>
          <x15:modelTable id="Calender Table_4f337bb7-fefa-4ce0-808d-0310a002eabd"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D2" i="3"/>
  <c r="B27" i="1"/>
  <c r="C27" i="1"/>
  <c r="B28" i="1"/>
  <c r="C28" i="1"/>
  <c r="A27" i="1"/>
  <c r="A28" i="1"/>
  <c r="F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3058E-2B70-48EC-BFA7-0B8C430AA89D}" name="Query - Calender Table" description="Connection to the 'Calender Table' query in the workbook." type="100" refreshedVersion="7" minRefreshableVersion="5">
    <extLst>
      <ext xmlns:x15="http://schemas.microsoft.com/office/spreadsheetml/2010/11/main" uri="{DE250136-89BD-433C-8126-D09CA5730AF9}">
        <x15:connection id="3102ee53-5ac8-47dd-96d1-2fca18408d32"/>
      </ext>
    </extLst>
  </connection>
  <connection id="2" xr16:uid="{746D5C58-E644-457A-8240-8F64D9739B4D}"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7621ae5f-2639-4595-8f9f-55b466b9d89b"/>
      </ext>
    </extLst>
  </connection>
  <connection id="3" xr16:uid="{10E5C793-F41D-4AF1-AFBE-0A5999DF2F1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er Table].[Date (Year)].&amp;[2023]}"/>
  </metadataStrings>
  <mdxMetadata count="1">
    <mdx n="0" f="s">
      <ms ns="1" c="0"/>
    </mdx>
  </mdxMetadata>
  <valueMetadata count="1">
    <bk>
      <rc t="1" v="0"/>
    </bk>
  </valueMetadata>
</metadata>
</file>

<file path=xl/sharedStrings.xml><?xml version="1.0" encoding="utf-8"?>
<sst xmlns="http://schemas.openxmlformats.org/spreadsheetml/2006/main" count="98" uniqueCount="55">
  <si>
    <t>Count of Patient Id</t>
  </si>
  <si>
    <t>No of patients</t>
  </si>
  <si>
    <t>Average of Patient Waittime</t>
  </si>
  <si>
    <t>Average of Patient Satisfaction Score</t>
  </si>
  <si>
    <t>Grand Total</t>
  </si>
  <si>
    <t>Row Labels</t>
  </si>
  <si>
    <t>Daily trends of no.of patients</t>
  </si>
  <si>
    <t>Average wait time</t>
  </si>
  <si>
    <t>Patient Satisfaction Score</t>
  </si>
  <si>
    <t>Admitted</t>
  </si>
  <si>
    <t>Not Admitted</t>
  </si>
  <si>
    <t>Patients</t>
  </si>
  <si>
    <t>Admission Status</t>
  </si>
  <si>
    <t>% of Total</t>
  </si>
  <si>
    <t>No of Patients</t>
  </si>
  <si>
    <t>0-09</t>
  </si>
  <si>
    <t>10-19</t>
  </si>
  <si>
    <t>20-29</t>
  </si>
  <si>
    <t>30-39</t>
  </si>
  <si>
    <t>40-49</t>
  </si>
  <si>
    <t>50-59</t>
  </si>
  <si>
    <t>60-69</t>
  </si>
  <si>
    <t>70-79</t>
  </si>
  <si>
    <t>Count of Age group</t>
  </si>
  <si>
    <t>age group wise</t>
  </si>
  <si>
    <t>On Time</t>
  </si>
  <si>
    <t>Delay</t>
  </si>
  <si>
    <t>Female</t>
  </si>
  <si>
    <t>Male</t>
  </si>
  <si>
    <t>attended status</t>
  </si>
  <si>
    <t>no of patients by gender</t>
  </si>
  <si>
    <t>Count of Patient Gender</t>
  </si>
  <si>
    <t>Cardiology</t>
  </si>
  <si>
    <t>Gastroenterology</t>
  </si>
  <si>
    <t>General Practice</t>
  </si>
  <si>
    <t>Neurology</t>
  </si>
  <si>
    <t>None</t>
  </si>
  <si>
    <t>Orthopedics</t>
  </si>
  <si>
    <t>Physiotherapy</t>
  </si>
  <si>
    <t>Count of Department Referral</t>
  </si>
  <si>
    <t>no of patients by department</t>
  </si>
  <si>
    <t>no of patients status admitted/not admitted</t>
  </si>
  <si>
    <t>Date (Year)</t>
  </si>
  <si>
    <t>4-Dec</t>
  </si>
  <si>
    <t>5-Dec</t>
  </si>
  <si>
    <t>6-Dec</t>
  </si>
  <si>
    <t>7-Dec</t>
  </si>
  <si>
    <t>8-Dec</t>
  </si>
  <si>
    <t>9-Dec</t>
  </si>
  <si>
    <t>10-Dec</t>
  </si>
  <si>
    <t>Dec</t>
  </si>
  <si>
    <t>2023</t>
  </si>
  <si>
    <t>Renal</t>
  </si>
  <si>
    <t>11-Dec</t>
  </si>
  <si>
    <t>12-Dec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</si>
</sst>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3" borderId="0" xfId="0" applyFill="1"/>
    <xf numFmtId="0" fontId="2" fillId="3" borderId="0" xfId="0" applyFont="1" applyFill="1"/>
    <xf numFmtId="9" fontId="2" fillId="3" borderId="0" xfId="1" applyFont="1" applyFill="1"/>
    <xf numFmtId="0" fontId="2" fillId="4" borderId="0" xfId="0" applyFont="1" applyFill="1" applyAlignment="1">
      <alignment horizontal="left"/>
    </xf>
    <xf numFmtId="0" fontId="2" fillId="4" borderId="0" xfId="0" applyFont="1" applyFill="1"/>
    <xf numFmtId="0" fontId="0" fillId="4" borderId="0" xfId="0" applyFill="1"/>
  </cellXfs>
  <cellStyles count="2">
    <cellStyle name="Normal" xfId="0" builtinId="0"/>
    <cellStyle name="Percent" xfId="1" builtinId="5"/>
  </cellStyles>
  <dxfs count="13">
    <dxf>
      <numFmt numFmtId="14" formatCode="0.00%"/>
    </dxf>
    <dxf>
      <numFmt numFmtId="164" formatCode="0.0"/>
    </dxf>
    <dxf>
      <numFmt numFmtId="164" formatCode="0.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theme="5"/>
        </bottom>
        <vertical/>
        <horizontal/>
      </border>
    </dxf>
    <dxf>
      <font>
        <b/>
        <i val="0"/>
      </font>
      <border diagonalUp="0" diagonalDown="0">
        <left/>
        <right/>
        <top/>
        <bottom/>
        <vertical/>
        <horizontal/>
      </border>
    </dxf>
  </dxfs>
  <tableStyles count="1" defaultTableStyle="TableStyleMedium2" defaultPivotStyle="PivotStyleLight16">
    <tableStyle name="MyStyle" pivot="0" table="0" count="10" xr9:uid="{9759351C-4C74-45C3-B8DC-964551160FD8}">
      <tableStyleElement type="wholeTable" dxfId="12"/>
      <tableStyleElement type="headerRow" dxfId="11"/>
    </tableStyle>
  </tableStyles>
  <colors>
    <mruColors>
      <color rgb="FFB5682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26AE5D-9595-49F7-B3EB-B41D0671DCC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2EDFE9-1305-4BAA-A2BE-FFCD510796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14193548387096774"/>
          <c:y val="0.1981981981981982"/>
          <c:w val="0.53908854968547926"/>
          <c:h val="0.60360360360360366"/>
        </c:manualLayout>
      </c:layout>
      <c:barChart>
        <c:barDir val="bar"/>
        <c:grouping val="clustered"/>
        <c:varyColors val="0"/>
        <c:ser>
          <c:idx val="0"/>
          <c:order val="0"/>
          <c:tx>
            <c:strRef>
              <c:f>'Pivot Report'!$C$32:$C$33</c:f>
              <c:strCache>
                <c:ptCount val="1"/>
                <c:pt idx="0">
                  <c:v>Patients</c:v>
                </c:pt>
              </c:strCache>
            </c:strRef>
          </c:tx>
          <c:spPr>
            <a:solidFill>
              <a:schemeClr val="accent1"/>
            </a:solidFill>
            <a:ln>
              <a:noFill/>
            </a:ln>
            <a:effectLst/>
          </c:spPr>
          <c:invertIfNegative val="0"/>
          <c:dLbls>
            <c:dLbl>
              <c:idx val="0"/>
              <c:tx>
                <c:rich>
                  <a:bodyPr/>
                  <a:lstStyle/>
                  <a:p>
                    <a:fld id="{AA26AE5D-9595-49F7-B3EB-B41D0671DC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5B2-4115-9A17-DC3391514F8F}"/>
                </c:ext>
              </c:extLst>
            </c:dLbl>
            <c:dLbl>
              <c:idx val="1"/>
              <c:tx>
                <c:rich>
                  <a:bodyPr/>
                  <a:lstStyle/>
                  <a:p>
                    <a:fld id="{982EDFE9-1305-4BAA-A2BE-FFCD510796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5B2-4115-9A17-DC3391514F8F}"/>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Report'!$C$32:$C$33</c:f>
              <c:strCache>
                <c:ptCount val="2"/>
                <c:pt idx="0">
                  <c:v>Admitted</c:v>
                </c:pt>
                <c:pt idx="1">
                  <c:v>Not Admitted</c:v>
                </c:pt>
              </c:strCache>
            </c:strRef>
          </c:cat>
          <c:val>
            <c:numRef>
              <c:f>'Pivot Report'!$C$32:$C$33</c:f>
              <c:numCache>
                <c:formatCode>0.0</c:formatCode>
                <c:ptCount val="2"/>
                <c:pt idx="0">
                  <c:v>74</c:v>
                </c:pt>
                <c:pt idx="1">
                  <c:v>85</c:v>
                </c:pt>
              </c:numCache>
            </c:numRef>
          </c:val>
          <c:extLst>
            <c:ext xmlns:c15="http://schemas.microsoft.com/office/drawing/2012/chart" uri="{02D57815-91ED-43cb-92C2-25804820EDAC}">
              <c15:datalabelsRange>
                <c15:f>'Pivot Report'!$C$32:$C$33</c15:f>
                <c15:dlblRangeCache>
                  <c:ptCount val="2"/>
                  <c:pt idx="0">
                    <c:v>46.54%</c:v>
                  </c:pt>
                  <c:pt idx="1">
                    <c:v>53.46%</c:v>
                  </c:pt>
                </c15:dlblRangeCache>
              </c15:datalabelsRange>
            </c:ext>
            <c:ext xmlns:c16="http://schemas.microsoft.com/office/drawing/2014/chart" uri="{C3380CC4-5D6E-409C-BE32-E72D297353CC}">
              <c16:uniqueId val="{00000000-05B2-4115-9A17-DC3391514F8F}"/>
            </c:ext>
          </c:extLst>
        </c:ser>
        <c:ser>
          <c:idx val="1"/>
          <c:order val="1"/>
          <c:tx>
            <c:strRef>
              <c:f>'Pivot Report'!$C$32:$C$33</c:f>
              <c:strCache>
                <c:ptCount val="1"/>
                <c:pt idx="0">
                  <c:v>% of Total</c:v>
                </c:pt>
              </c:strCache>
            </c:strRef>
          </c:tx>
          <c:spPr>
            <a:solidFill>
              <a:schemeClr val="accent2"/>
            </a:solidFill>
            <a:ln>
              <a:noFill/>
            </a:ln>
            <a:effectLst/>
          </c:spPr>
          <c:invertIfNegative val="0"/>
          <c:cat>
            <c:strRef>
              <c:f>'Pivot Report'!$C$32:$C$33</c:f>
              <c:strCache>
                <c:ptCount val="2"/>
                <c:pt idx="0">
                  <c:v>Admitted</c:v>
                </c:pt>
                <c:pt idx="1">
                  <c:v>Not Admitted</c:v>
                </c:pt>
              </c:strCache>
            </c:strRef>
          </c:cat>
          <c:val>
            <c:numRef>
              <c:f>'Pivot Report'!$C$32:$C$33</c:f>
              <c:numCache>
                <c:formatCode>0.00%</c:formatCode>
                <c:ptCount val="2"/>
                <c:pt idx="0">
                  <c:v>0.46540880503144655</c:v>
                </c:pt>
                <c:pt idx="1">
                  <c:v>0.53459119496855345</c:v>
                </c:pt>
              </c:numCache>
            </c:numRef>
          </c:val>
          <c:extLst>
            <c:ext xmlns:c16="http://schemas.microsoft.com/office/drawing/2014/chart" uri="{C3380CC4-5D6E-409C-BE32-E72D297353CC}">
              <c16:uniqueId val="{00000001-05B2-4115-9A17-DC3391514F8F}"/>
            </c:ext>
          </c:extLst>
        </c:ser>
        <c:dLbls>
          <c:showLegendKey val="0"/>
          <c:showVal val="0"/>
          <c:showCatName val="0"/>
          <c:showSerName val="0"/>
          <c:showPercent val="0"/>
          <c:showBubbleSize val="0"/>
        </c:dLbls>
        <c:gapWidth val="44"/>
        <c:overlap val="-18"/>
        <c:axId val="942093112"/>
        <c:axId val="942094752"/>
      </c:barChart>
      <c:catAx>
        <c:axId val="942093112"/>
        <c:scaling>
          <c:orientation val="minMax"/>
        </c:scaling>
        <c:delete val="1"/>
        <c:axPos val="l"/>
        <c:numFmt formatCode="General" sourceLinked="1"/>
        <c:majorTickMark val="none"/>
        <c:minorTickMark val="none"/>
        <c:tickLblPos val="nextTo"/>
        <c:crossAx val="942094752"/>
        <c:crosses val="autoZero"/>
        <c:auto val="1"/>
        <c:lblAlgn val="ctr"/>
        <c:lblOffset val="100"/>
        <c:noMultiLvlLbl val="0"/>
      </c:catAx>
      <c:valAx>
        <c:axId val="942094752"/>
        <c:scaling>
          <c:orientation val="minMax"/>
        </c:scaling>
        <c:delete val="1"/>
        <c:axPos val="b"/>
        <c:numFmt formatCode="0.0" sourceLinked="1"/>
        <c:majorTickMark val="none"/>
        <c:minorTickMark val="none"/>
        <c:tickLblPos val="nextTo"/>
        <c:crossAx val="942093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59259526723173E-2"/>
          <c:y val="8.507377326289095E-2"/>
          <c:w val="0.84040843281686561"/>
          <c:h val="0.63554059190876999"/>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Report'!$C$3:$C$12</c:f>
              <c:strCache>
                <c:ptCount val="9"/>
                <c:pt idx="0">
                  <c:v>4-Dec</c:v>
                </c:pt>
                <c:pt idx="1">
                  <c:v>5-Dec</c:v>
                </c:pt>
                <c:pt idx="2">
                  <c:v>6-Dec</c:v>
                </c:pt>
                <c:pt idx="3">
                  <c:v>7-Dec</c:v>
                </c:pt>
                <c:pt idx="4">
                  <c:v>8-Dec</c:v>
                </c:pt>
                <c:pt idx="5">
                  <c:v>9-Dec</c:v>
                </c:pt>
                <c:pt idx="6">
                  <c:v>10-Dec</c:v>
                </c:pt>
                <c:pt idx="7">
                  <c:v>11-Dec</c:v>
                </c:pt>
                <c:pt idx="8">
                  <c:v>12-Dec</c:v>
                </c:pt>
              </c:strCache>
            </c:strRef>
          </c:cat>
          <c:val>
            <c:numRef>
              <c:f>'Pivot Report'!$D$3:$D$12</c:f>
              <c:numCache>
                <c:formatCode>General</c:formatCode>
                <c:ptCount val="9"/>
                <c:pt idx="0">
                  <c:v>30</c:v>
                </c:pt>
                <c:pt idx="1">
                  <c:v>11</c:v>
                </c:pt>
                <c:pt idx="2">
                  <c:v>20</c:v>
                </c:pt>
                <c:pt idx="3">
                  <c:v>14</c:v>
                </c:pt>
                <c:pt idx="4">
                  <c:v>21</c:v>
                </c:pt>
                <c:pt idx="5">
                  <c:v>10</c:v>
                </c:pt>
                <c:pt idx="6">
                  <c:v>18</c:v>
                </c:pt>
                <c:pt idx="7">
                  <c:v>16</c:v>
                </c:pt>
                <c:pt idx="8">
                  <c:v>19</c:v>
                </c:pt>
              </c:numCache>
            </c:numRef>
          </c:val>
          <c:extLst>
            <c:ext xmlns:c16="http://schemas.microsoft.com/office/drawing/2014/chart" uri="{C3380CC4-5D6E-409C-BE32-E72D297353CC}">
              <c16:uniqueId val="{00000000-2965-47B9-B0F2-C2088ACA3723}"/>
            </c:ext>
          </c:extLst>
        </c:ser>
        <c:dLbls>
          <c:showLegendKey val="0"/>
          <c:showVal val="0"/>
          <c:showCatName val="0"/>
          <c:showSerName val="0"/>
          <c:showPercent val="0"/>
          <c:showBubbleSize val="0"/>
        </c:dLbls>
        <c:axId val="586677728"/>
        <c:axId val="586675432"/>
      </c:areaChart>
      <c:catAx>
        <c:axId val="586677728"/>
        <c:scaling>
          <c:orientation val="minMax"/>
        </c:scaling>
        <c:delete val="1"/>
        <c:axPos val="b"/>
        <c:numFmt formatCode="General" sourceLinked="1"/>
        <c:majorTickMark val="out"/>
        <c:minorTickMark val="none"/>
        <c:tickLblPos val="nextTo"/>
        <c:crossAx val="586675432"/>
        <c:crosses val="autoZero"/>
        <c:auto val="1"/>
        <c:lblAlgn val="ctr"/>
        <c:lblOffset val="100"/>
        <c:noMultiLvlLbl val="0"/>
      </c:catAx>
      <c:valAx>
        <c:axId val="586675432"/>
        <c:scaling>
          <c:orientation val="minMax"/>
        </c:scaling>
        <c:delete val="1"/>
        <c:axPos val="l"/>
        <c:numFmt formatCode="General" sourceLinked="1"/>
        <c:majorTickMark val="none"/>
        <c:minorTickMark val="none"/>
        <c:tickLblPos val="nextTo"/>
        <c:crossAx val="58667772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29234172685275E-2"/>
          <c:y val="0.16146760996730194"/>
          <c:w val="0.88637842410046197"/>
          <c:h val="0.67706478006539617"/>
        </c:manualLayout>
      </c:layout>
      <c:areaChart>
        <c:grouping val="standard"/>
        <c:varyColors val="0"/>
        <c:ser>
          <c:idx val="0"/>
          <c:order val="0"/>
          <c:tx>
            <c:strRef>
              <c:f>'Pivot Report'!$G$2</c:f>
              <c:strCache>
                <c:ptCount val="1"/>
                <c:pt idx="0">
                  <c:v>Total</c:v>
                </c:pt>
              </c:strCache>
            </c:strRef>
          </c:tx>
          <c:spPr>
            <a:solidFill>
              <a:schemeClr val="accent1"/>
            </a:solidFill>
            <a:ln>
              <a:noFill/>
            </a:ln>
            <a:effectLst/>
          </c:spPr>
          <c:cat>
            <c:strRef>
              <c:f>'Pivot Report'!$F$3:$F$12</c:f>
              <c:strCache>
                <c:ptCount val="9"/>
                <c:pt idx="0">
                  <c:v>4-Dec</c:v>
                </c:pt>
                <c:pt idx="1">
                  <c:v>5-Dec</c:v>
                </c:pt>
                <c:pt idx="2">
                  <c:v>6-Dec</c:v>
                </c:pt>
                <c:pt idx="3">
                  <c:v>7-Dec</c:v>
                </c:pt>
                <c:pt idx="4">
                  <c:v>8-Dec</c:v>
                </c:pt>
                <c:pt idx="5">
                  <c:v>9-Dec</c:v>
                </c:pt>
                <c:pt idx="6">
                  <c:v>10-Dec</c:v>
                </c:pt>
                <c:pt idx="7">
                  <c:v>11-Dec</c:v>
                </c:pt>
                <c:pt idx="8">
                  <c:v>12-Dec</c:v>
                </c:pt>
              </c:strCache>
            </c:strRef>
          </c:cat>
          <c:val>
            <c:numRef>
              <c:f>'Pivot Report'!$G$3:$G$12</c:f>
              <c:numCache>
                <c:formatCode>0.00</c:formatCode>
                <c:ptCount val="9"/>
                <c:pt idx="0">
                  <c:v>36.93333333333333</c:v>
                </c:pt>
                <c:pt idx="1">
                  <c:v>37.81818181818182</c:v>
                </c:pt>
                <c:pt idx="2">
                  <c:v>32.549999999999997</c:v>
                </c:pt>
                <c:pt idx="3">
                  <c:v>32.428571428571431</c:v>
                </c:pt>
                <c:pt idx="4">
                  <c:v>32.333333333333336</c:v>
                </c:pt>
                <c:pt idx="5">
                  <c:v>35.200000000000003</c:v>
                </c:pt>
                <c:pt idx="6">
                  <c:v>41.055555555555557</c:v>
                </c:pt>
                <c:pt idx="7">
                  <c:v>38.0625</c:v>
                </c:pt>
                <c:pt idx="8">
                  <c:v>28.684210526315791</c:v>
                </c:pt>
              </c:numCache>
            </c:numRef>
          </c:val>
          <c:extLst>
            <c:ext xmlns:c16="http://schemas.microsoft.com/office/drawing/2014/chart" uri="{C3380CC4-5D6E-409C-BE32-E72D297353CC}">
              <c16:uniqueId val="{00000000-7DDE-4991-B8CA-50DE44404904}"/>
            </c:ext>
          </c:extLst>
        </c:ser>
        <c:dLbls>
          <c:showLegendKey val="0"/>
          <c:showVal val="0"/>
          <c:showCatName val="0"/>
          <c:showSerName val="0"/>
          <c:showPercent val="0"/>
          <c:showBubbleSize val="0"/>
        </c:dLbls>
        <c:axId val="941817224"/>
        <c:axId val="941816896"/>
      </c:areaChart>
      <c:catAx>
        <c:axId val="941817224"/>
        <c:scaling>
          <c:orientation val="minMax"/>
        </c:scaling>
        <c:delete val="1"/>
        <c:axPos val="b"/>
        <c:numFmt formatCode="General" sourceLinked="1"/>
        <c:majorTickMark val="out"/>
        <c:minorTickMark val="none"/>
        <c:tickLblPos val="nextTo"/>
        <c:crossAx val="941816896"/>
        <c:crosses val="autoZero"/>
        <c:auto val="1"/>
        <c:lblAlgn val="ctr"/>
        <c:lblOffset val="100"/>
        <c:noMultiLvlLbl val="0"/>
      </c:catAx>
      <c:valAx>
        <c:axId val="941816896"/>
        <c:scaling>
          <c:orientation val="minMax"/>
        </c:scaling>
        <c:delete val="1"/>
        <c:axPos val="l"/>
        <c:numFmt formatCode="0.00" sourceLinked="1"/>
        <c:majorTickMark val="none"/>
        <c:minorTickMark val="none"/>
        <c:tickLblPos val="nextTo"/>
        <c:crossAx val="94181722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Report'!$J$2</c:f>
              <c:strCache>
                <c:ptCount val="1"/>
                <c:pt idx="0">
                  <c:v>Total</c:v>
                </c:pt>
              </c:strCache>
            </c:strRef>
          </c:tx>
          <c:spPr>
            <a:solidFill>
              <a:schemeClr val="accent1"/>
            </a:solidFill>
            <a:ln>
              <a:noFill/>
            </a:ln>
            <a:effectLst/>
          </c:spPr>
          <c:cat>
            <c:strRef>
              <c:f>'Pivot Report'!$I$3:$I$12</c:f>
              <c:strCache>
                <c:ptCount val="9"/>
                <c:pt idx="0">
                  <c:v>4-Dec</c:v>
                </c:pt>
                <c:pt idx="1">
                  <c:v>5-Dec</c:v>
                </c:pt>
                <c:pt idx="2">
                  <c:v>6-Dec</c:v>
                </c:pt>
                <c:pt idx="3">
                  <c:v>7-Dec</c:v>
                </c:pt>
                <c:pt idx="4">
                  <c:v>8-Dec</c:v>
                </c:pt>
                <c:pt idx="5">
                  <c:v>9-Dec</c:v>
                </c:pt>
                <c:pt idx="6">
                  <c:v>10-Dec</c:v>
                </c:pt>
                <c:pt idx="7">
                  <c:v>11-Dec</c:v>
                </c:pt>
                <c:pt idx="8">
                  <c:v>12-Dec</c:v>
                </c:pt>
              </c:strCache>
            </c:strRef>
          </c:cat>
          <c:val>
            <c:numRef>
              <c:f>'Pivot Report'!$J$3:$J$12</c:f>
              <c:numCache>
                <c:formatCode>0.00</c:formatCode>
                <c:ptCount val="9"/>
                <c:pt idx="0">
                  <c:v>5.75</c:v>
                </c:pt>
                <c:pt idx="1">
                  <c:v>3.25</c:v>
                </c:pt>
                <c:pt idx="2">
                  <c:v>3</c:v>
                </c:pt>
                <c:pt idx="3">
                  <c:v>4</c:v>
                </c:pt>
                <c:pt idx="4">
                  <c:v>4.7142857142857144</c:v>
                </c:pt>
                <c:pt idx="5">
                  <c:v>1.5</c:v>
                </c:pt>
                <c:pt idx="6">
                  <c:v>3</c:v>
                </c:pt>
                <c:pt idx="7">
                  <c:v>3</c:v>
                </c:pt>
                <c:pt idx="8">
                  <c:v>5.25</c:v>
                </c:pt>
              </c:numCache>
            </c:numRef>
          </c:val>
          <c:extLst>
            <c:ext xmlns:c16="http://schemas.microsoft.com/office/drawing/2014/chart" uri="{C3380CC4-5D6E-409C-BE32-E72D297353CC}">
              <c16:uniqueId val="{00000000-F3EA-43AF-9A34-756D39F2A23A}"/>
            </c:ext>
          </c:extLst>
        </c:ser>
        <c:dLbls>
          <c:showLegendKey val="0"/>
          <c:showVal val="0"/>
          <c:showCatName val="0"/>
          <c:showSerName val="0"/>
          <c:showPercent val="0"/>
          <c:showBubbleSize val="0"/>
        </c:dLbls>
        <c:axId val="457001656"/>
        <c:axId val="457001984"/>
      </c:areaChart>
      <c:catAx>
        <c:axId val="457001656"/>
        <c:scaling>
          <c:orientation val="minMax"/>
        </c:scaling>
        <c:delete val="1"/>
        <c:axPos val="b"/>
        <c:numFmt formatCode="General" sourceLinked="1"/>
        <c:majorTickMark val="out"/>
        <c:minorTickMark val="none"/>
        <c:tickLblPos val="nextTo"/>
        <c:crossAx val="457001984"/>
        <c:crosses val="autoZero"/>
        <c:auto val="1"/>
        <c:lblAlgn val="ctr"/>
        <c:lblOffset val="100"/>
        <c:noMultiLvlLbl val="0"/>
      </c:catAx>
      <c:valAx>
        <c:axId val="457001984"/>
        <c:scaling>
          <c:orientation val="minMax"/>
        </c:scaling>
        <c:delete val="1"/>
        <c:axPos val="l"/>
        <c:numFmt formatCode="0.00" sourceLinked="1"/>
        <c:majorTickMark val="none"/>
        <c:minorTickMark val="none"/>
        <c:tickLblPos val="nextTo"/>
        <c:crossAx val="4570016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7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72974195199735E-2"/>
          <c:y val="0.14166664674728438"/>
          <c:w val="0.95788288064213378"/>
          <c:h val="0.65394614914517968"/>
        </c:manualLayout>
      </c:layout>
      <c:barChart>
        <c:barDir val="col"/>
        <c:grouping val="clustered"/>
        <c:varyColors val="0"/>
        <c:ser>
          <c:idx val="0"/>
          <c:order val="0"/>
          <c:tx>
            <c:strRef>
              <c:f>'Pivot Report'!$B$15</c:f>
              <c:strCache>
                <c:ptCount val="1"/>
                <c:pt idx="0">
                  <c:v>Total</c:v>
                </c:pt>
              </c:strCache>
            </c:strRef>
          </c:tx>
          <c:spPr>
            <a:solidFill>
              <a:schemeClr val="accent1"/>
            </a:solidFill>
            <a:ln>
              <a:noFill/>
            </a:ln>
            <a:effectLst/>
          </c:spPr>
          <c:invertIfNegative val="0"/>
          <c:cat>
            <c:strRef>
              <c:f>'Pivot Report'!$A$16:$A$24</c:f>
              <c:strCache>
                <c:ptCount val="8"/>
                <c:pt idx="0">
                  <c:v>0-09</c:v>
                </c:pt>
                <c:pt idx="1">
                  <c:v>10-19</c:v>
                </c:pt>
                <c:pt idx="2">
                  <c:v>20-29</c:v>
                </c:pt>
                <c:pt idx="3">
                  <c:v>30-39</c:v>
                </c:pt>
                <c:pt idx="4">
                  <c:v>40-49</c:v>
                </c:pt>
                <c:pt idx="5">
                  <c:v>50-59</c:v>
                </c:pt>
                <c:pt idx="6">
                  <c:v>60-69</c:v>
                </c:pt>
                <c:pt idx="7">
                  <c:v>70-79</c:v>
                </c:pt>
              </c:strCache>
            </c:strRef>
          </c:cat>
          <c:val>
            <c:numRef>
              <c:f>'Pivot Report'!$B$16:$B$24</c:f>
              <c:numCache>
                <c:formatCode>0</c:formatCode>
                <c:ptCount val="8"/>
                <c:pt idx="0">
                  <c:v>14</c:v>
                </c:pt>
                <c:pt idx="1">
                  <c:v>26</c:v>
                </c:pt>
                <c:pt idx="2">
                  <c:v>21</c:v>
                </c:pt>
                <c:pt idx="3">
                  <c:v>19</c:v>
                </c:pt>
                <c:pt idx="4">
                  <c:v>22</c:v>
                </c:pt>
                <c:pt idx="5">
                  <c:v>15</c:v>
                </c:pt>
                <c:pt idx="6">
                  <c:v>23</c:v>
                </c:pt>
                <c:pt idx="7">
                  <c:v>19</c:v>
                </c:pt>
              </c:numCache>
            </c:numRef>
          </c:val>
          <c:extLst>
            <c:ext xmlns:c16="http://schemas.microsoft.com/office/drawing/2014/chart" uri="{C3380CC4-5D6E-409C-BE32-E72D297353CC}">
              <c16:uniqueId val="{00000000-AB9A-4438-9DA1-1FEBE3C3E6AF}"/>
            </c:ext>
          </c:extLst>
        </c:ser>
        <c:dLbls>
          <c:showLegendKey val="0"/>
          <c:showVal val="0"/>
          <c:showCatName val="0"/>
          <c:showSerName val="0"/>
          <c:showPercent val="0"/>
          <c:showBubbleSize val="0"/>
        </c:dLbls>
        <c:gapWidth val="219"/>
        <c:overlap val="-27"/>
        <c:axId val="996973448"/>
        <c:axId val="996972464"/>
      </c:barChart>
      <c:catAx>
        <c:axId val="996973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2464"/>
        <c:crosses val="autoZero"/>
        <c:auto val="1"/>
        <c:lblAlgn val="ctr"/>
        <c:lblOffset val="100"/>
        <c:noMultiLvlLbl val="0"/>
      </c:catAx>
      <c:valAx>
        <c:axId val="996972464"/>
        <c:scaling>
          <c:orientation val="minMax"/>
        </c:scaling>
        <c:delete val="1"/>
        <c:axPos val="l"/>
        <c:numFmt formatCode="0" sourceLinked="1"/>
        <c:majorTickMark val="none"/>
        <c:minorTickMark val="none"/>
        <c:tickLblPos val="nextTo"/>
        <c:crossAx val="996973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8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2"/>
          </a:solidFill>
          <a:ln>
            <a:noFill/>
          </a:ln>
          <a:effectLst/>
        </c:spPr>
      </c:pivotFmt>
    </c:pivotFmts>
    <c:plotArea>
      <c:layout>
        <c:manualLayout>
          <c:layoutTarget val="inner"/>
          <c:xMode val="edge"/>
          <c:yMode val="edge"/>
          <c:x val="0.38840094681416359"/>
          <c:y val="0.20821714358875873"/>
          <c:w val="0.62517031573476478"/>
          <c:h val="0.7913860767404074"/>
        </c:manualLayout>
      </c:layout>
      <c:pieChart>
        <c:varyColors val="1"/>
        <c:ser>
          <c:idx val="0"/>
          <c:order val="0"/>
          <c:tx>
            <c:strRef>
              <c:f>'Pivot Report'!$H$16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8-DF47-489A-8997-E4707272E953}"/>
              </c:ext>
            </c:extLst>
          </c:dPt>
          <c:dPt>
            <c:idx val="1"/>
            <c:bubble3D val="0"/>
            <c:spPr>
              <a:solidFill>
                <a:schemeClr val="accent2"/>
              </a:solidFill>
              <a:ln>
                <a:noFill/>
              </a:ln>
              <a:effectLst/>
            </c:spPr>
            <c:extLst>
              <c:ext xmlns:c16="http://schemas.microsoft.com/office/drawing/2014/chart" uri="{C3380CC4-5D6E-409C-BE32-E72D297353CC}">
                <c16:uniqueId val="{0000000A-DF47-489A-8997-E4707272E9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Report'!$G$17:$G$19</c:f>
              <c:strCache>
                <c:ptCount val="2"/>
                <c:pt idx="0">
                  <c:v>Delay</c:v>
                </c:pt>
                <c:pt idx="1">
                  <c:v>On Time</c:v>
                </c:pt>
              </c:strCache>
            </c:strRef>
          </c:cat>
          <c:val>
            <c:numRef>
              <c:f>'Pivot Report'!$H$17:$H$19</c:f>
              <c:numCache>
                <c:formatCode>0</c:formatCode>
                <c:ptCount val="2"/>
                <c:pt idx="0">
                  <c:v>87</c:v>
                </c:pt>
                <c:pt idx="1">
                  <c:v>72</c:v>
                </c:pt>
              </c:numCache>
            </c:numRef>
          </c:val>
          <c:extLst>
            <c:ext xmlns:c16="http://schemas.microsoft.com/office/drawing/2014/chart" uri="{C3380CC4-5D6E-409C-BE32-E72D297353CC}">
              <c16:uniqueId val="{0000000B-DF47-489A-8997-E4707272E953}"/>
            </c:ext>
          </c:extLst>
        </c:ser>
        <c:dLbls>
          <c:dLblPos val="inEnd"/>
          <c:showLegendKey val="0"/>
          <c:showVal val="0"/>
          <c:showCatName val="0"/>
          <c:showSerName val="0"/>
          <c:showPercent val="1"/>
          <c:showBubbleSize val="0"/>
          <c:showLeaderLines val="1"/>
        </c:dLbls>
        <c:firstSliceAng val="0"/>
      </c:pieChart>
    </c:plotArea>
    <c:legend>
      <c:legendPos val="r"/>
      <c:layout>
        <c:manualLayout>
          <c:xMode val="edge"/>
          <c:yMode val="edge"/>
          <c:x val="0.30075714140374005"/>
          <c:y val="3.9024390243902439E-2"/>
          <c:w val="0.69306719482150614"/>
          <c:h val="0.16303386466935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Report!PivotTable12</c:name>
    <c:fmtId val="9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025256562834344"/>
          <c:y val="0.14069574706660623"/>
          <c:w val="0.5344709413718719"/>
          <c:h val="0.62196466432362807"/>
        </c:manualLayout>
      </c:layout>
      <c:doughnutChart>
        <c:varyColors val="1"/>
        <c:ser>
          <c:idx val="0"/>
          <c:order val="0"/>
          <c:tx>
            <c:strRef>
              <c:f>'Pivot Report'!$E$16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4C1-4367-9E62-260C2B67579B}"/>
              </c:ext>
            </c:extLst>
          </c:dPt>
          <c:dPt>
            <c:idx val="1"/>
            <c:bubble3D val="0"/>
            <c:spPr>
              <a:solidFill>
                <a:schemeClr val="accent2"/>
              </a:solidFill>
              <a:ln>
                <a:noFill/>
              </a:ln>
              <a:effectLst/>
            </c:spPr>
            <c:extLst>
              <c:ext xmlns:c16="http://schemas.microsoft.com/office/drawing/2014/chart" uri="{C3380CC4-5D6E-409C-BE32-E72D297353CC}">
                <c16:uniqueId val="{00000003-A4C1-4367-9E62-260C2B6757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Report'!$D$17:$D$19</c:f>
              <c:strCache>
                <c:ptCount val="2"/>
                <c:pt idx="0">
                  <c:v>Female</c:v>
                </c:pt>
                <c:pt idx="1">
                  <c:v>Male</c:v>
                </c:pt>
              </c:strCache>
            </c:strRef>
          </c:cat>
          <c:val>
            <c:numRef>
              <c:f>'Pivot Report'!$E$17:$E$19</c:f>
              <c:numCache>
                <c:formatCode>0</c:formatCode>
                <c:ptCount val="2"/>
                <c:pt idx="0">
                  <c:v>75</c:v>
                </c:pt>
                <c:pt idx="1">
                  <c:v>84</c:v>
                </c:pt>
              </c:numCache>
            </c:numRef>
          </c:val>
          <c:extLst>
            <c:ext xmlns:c16="http://schemas.microsoft.com/office/drawing/2014/chart" uri="{C3380CC4-5D6E-409C-BE32-E72D297353CC}">
              <c16:uniqueId val="{00000004-A4C1-4367-9E62-260C2B67579B}"/>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20425356656725344"/>
          <c:y val="3.6517059213060039E-2"/>
          <c:w val="0.4891434308556194"/>
          <c:h val="7.78092268667758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9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97943137645781"/>
          <c:y val="6.5671610919444859E-2"/>
          <c:w val="0.75051796564013873"/>
          <c:h val="0.92238809618611062"/>
        </c:manualLayout>
      </c:layout>
      <c:barChart>
        <c:barDir val="bar"/>
        <c:grouping val="clustered"/>
        <c:varyColors val="0"/>
        <c:ser>
          <c:idx val="0"/>
          <c:order val="0"/>
          <c:tx>
            <c:strRef>
              <c:f>'Pivot Report'!$H$22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Report'!$G$23:$G$31</c:f>
              <c:strCache>
                <c:ptCount val="8"/>
                <c:pt idx="0">
                  <c:v>Physiotherapy</c:v>
                </c:pt>
                <c:pt idx="1">
                  <c:v>Renal</c:v>
                </c:pt>
                <c:pt idx="2">
                  <c:v>Gastroenterology</c:v>
                </c:pt>
                <c:pt idx="3">
                  <c:v>Cardiology</c:v>
                </c:pt>
                <c:pt idx="4">
                  <c:v>Neurology</c:v>
                </c:pt>
                <c:pt idx="5">
                  <c:v>Orthopedics</c:v>
                </c:pt>
                <c:pt idx="6">
                  <c:v>General Practice</c:v>
                </c:pt>
                <c:pt idx="7">
                  <c:v>None</c:v>
                </c:pt>
              </c:strCache>
            </c:strRef>
          </c:cat>
          <c:val>
            <c:numRef>
              <c:f>'Pivot Report'!$H$23:$H$31</c:f>
              <c:numCache>
                <c:formatCode>0</c:formatCode>
                <c:ptCount val="8"/>
                <c:pt idx="0">
                  <c:v>3</c:v>
                </c:pt>
                <c:pt idx="1">
                  <c:v>3</c:v>
                </c:pt>
                <c:pt idx="2">
                  <c:v>4</c:v>
                </c:pt>
                <c:pt idx="3">
                  <c:v>5</c:v>
                </c:pt>
                <c:pt idx="4">
                  <c:v>6</c:v>
                </c:pt>
                <c:pt idx="5">
                  <c:v>13</c:v>
                </c:pt>
                <c:pt idx="6">
                  <c:v>41</c:v>
                </c:pt>
                <c:pt idx="7">
                  <c:v>84</c:v>
                </c:pt>
              </c:numCache>
            </c:numRef>
          </c:val>
          <c:extLst>
            <c:ext xmlns:c16="http://schemas.microsoft.com/office/drawing/2014/chart" uri="{C3380CC4-5D6E-409C-BE32-E72D297353CC}">
              <c16:uniqueId val="{00000000-184F-4F67-8076-14029E1789F9}"/>
            </c:ext>
          </c:extLst>
        </c:ser>
        <c:dLbls>
          <c:showLegendKey val="0"/>
          <c:showVal val="0"/>
          <c:showCatName val="0"/>
          <c:showSerName val="0"/>
          <c:showPercent val="0"/>
          <c:showBubbleSize val="0"/>
        </c:dLbls>
        <c:gapWidth val="86"/>
        <c:axId val="456065264"/>
        <c:axId val="456064608"/>
      </c:barChart>
      <c:catAx>
        <c:axId val="45606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64608"/>
        <c:crosses val="autoZero"/>
        <c:auto val="1"/>
        <c:lblAlgn val="ctr"/>
        <c:lblOffset val="100"/>
        <c:noMultiLvlLbl val="0"/>
      </c:catAx>
      <c:valAx>
        <c:axId val="456064608"/>
        <c:scaling>
          <c:orientation val="minMax"/>
        </c:scaling>
        <c:delete val="1"/>
        <c:axPos val="b"/>
        <c:numFmt formatCode="0" sourceLinked="1"/>
        <c:majorTickMark val="none"/>
        <c:minorTickMark val="none"/>
        <c:tickLblPos val="nextTo"/>
        <c:crossAx val="45606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2" Type="http://schemas.microsoft.com/office/2007/relationships/hdphoto" Target="../media/hdphoto1.wdp"/><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635000</xdr:colOff>
      <xdr:row>25</xdr:row>
      <xdr:rowOff>44450</xdr:rowOff>
    </xdr:from>
    <xdr:to>
      <xdr:col>5</xdr:col>
      <xdr:colOff>260350</xdr:colOff>
      <xdr:row>28</xdr:row>
      <xdr:rowOff>6350</xdr:rowOff>
    </xdr:to>
    <xdr:graphicFrame macro="">
      <xdr:nvGraphicFramePr>
        <xdr:cNvPr id="6" name="Chart 5">
          <a:extLst>
            <a:ext uri="{FF2B5EF4-FFF2-40B4-BE49-F238E27FC236}">
              <a16:creationId xmlns:a16="http://schemas.microsoft.com/office/drawing/2014/main" id="{6D86EE2B-2F5D-49DF-9308-D6046BBBB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97118</xdr:colOff>
      <xdr:row>0</xdr:row>
      <xdr:rowOff>108856</xdr:rowOff>
    </xdr:from>
    <xdr:to>
      <xdr:col>10</xdr:col>
      <xdr:colOff>117929</xdr:colOff>
      <xdr:row>4</xdr:row>
      <xdr:rowOff>36286</xdr:rowOff>
    </xdr:to>
    <xdr:sp macro="" textlink="">
      <xdr:nvSpPr>
        <xdr:cNvPr id="2" name="Rectangle: Rounded Corners 1">
          <a:extLst>
            <a:ext uri="{FF2B5EF4-FFF2-40B4-BE49-F238E27FC236}">
              <a16:creationId xmlns:a16="http://schemas.microsoft.com/office/drawing/2014/main" id="{EB73710D-6866-4A90-89EC-0D323C10B1A4}"/>
            </a:ext>
          </a:extLst>
        </xdr:cNvPr>
        <xdr:cNvSpPr/>
      </xdr:nvSpPr>
      <xdr:spPr>
        <a:xfrm>
          <a:off x="97118" y="108856"/>
          <a:ext cx="6146693" cy="674489"/>
        </a:xfrm>
        <a:prstGeom prst="roundRect">
          <a:avLst>
            <a:gd name="adj" fmla="val 136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185965</xdr:colOff>
      <xdr:row>0</xdr:row>
      <xdr:rowOff>108857</xdr:rowOff>
    </xdr:from>
    <xdr:to>
      <xdr:col>12</xdr:col>
      <xdr:colOff>308428</xdr:colOff>
      <xdr:row>4</xdr:row>
      <xdr:rowOff>45357</xdr:rowOff>
    </xdr:to>
    <xdr:sp macro="" textlink="">
      <xdr:nvSpPr>
        <xdr:cNvPr id="3" name="Rectangle: Rounded Corners 2">
          <a:extLst>
            <a:ext uri="{FF2B5EF4-FFF2-40B4-BE49-F238E27FC236}">
              <a16:creationId xmlns:a16="http://schemas.microsoft.com/office/drawing/2014/main" id="{00BF1FA2-371F-4A06-90EF-48624E8BA909}"/>
            </a:ext>
          </a:extLst>
        </xdr:cNvPr>
        <xdr:cNvSpPr/>
      </xdr:nvSpPr>
      <xdr:spPr>
        <a:xfrm>
          <a:off x="6263822" y="108857"/>
          <a:ext cx="1338035" cy="662214"/>
        </a:xfrm>
        <a:prstGeom prst="roundRect">
          <a:avLst>
            <a:gd name="adj" fmla="val 1565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396422</xdr:colOff>
      <xdr:row>0</xdr:row>
      <xdr:rowOff>82550</xdr:rowOff>
    </xdr:from>
    <xdr:to>
      <xdr:col>16</xdr:col>
      <xdr:colOff>193223</xdr:colOff>
      <xdr:row>11</xdr:row>
      <xdr:rowOff>127000</xdr:rowOff>
    </xdr:to>
    <xdr:sp macro="" textlink="">
      <xdr:nvSpPr>
        <xdr:cNvPr id="4" name="Rectangle: Rounded Corners 3">
          <a:extLst>
            <a:ext uri="{FF2B5EF4-FFF2-40B4-BE49-F238E27FC236}">
              <a16:creationId xmlns:a16="http://schemas.microsoft.com/office/drawing/2014/main" id="{C8D56DA9-7300-406E-86B0-669C7F0AE8E2}"/>
            </a:ext>
          </a:extLst>
        </xdr:cNvPr>
        <xdr:cNvSpPr/>
      </xdr:nvSpPr>
      <xdr:spPr>
        <a:xfrm>
          <a:off x="7730672" y="82550"/>
          <a:ext cx="2241551" cy="2052638"/>
        </a:xfrm>
        <a:prstGeom prst="roundRect">
          <a:avLst>
            <a:gd name="adj" fmla="val 522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245806</xdr:colOff>
      <xdr:row>0</xdr:row>
      <xdr:rowOff>85271</xdr:rowOff>
    </xdr:from>
    <xdr:to>
      <xdr:col>20</xdr:col>
      <xdr:colOff>118837</xdr:colOff>
      <xdr:row>11</xdr:row>
      <xdr:rowOff>129721</xdr:rowOff>
    </xdr:to>
    <xdr:sp macro="" textlink="">
      <xdr:nvSpPr>
        <xdr:cNvPr id="5" name="Rectangle: Rounded Corners 4">
          <a:extLst>
            <a:ext uri="{FF2B5EF4-FFF2-40B4-BE49-F238E27FC236}">
              <a16:creationId xmlns:a16="http://schemas.microsoft.com/office/drawing/2014/main" id="{334BA64D-D673-4BF7-B348-08D6AE029115}"/>
            </a:ext>
          </a:extLst>
        </xdr:cNvPr>
        <xdr:cNvSpPr/>
      </xdr:nvSpPr>
      <xdr:spPr>
        <a:xfrm>
          <a:off x="9968817" y="85271"/>
          <a:ext cx="2303783" cy="2072353"/>
        </a:xfrm>
        <a:prstGeom prst="roundRect">
          <a:avLst>
            <a:gd name="adj" fmla="val 522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111579</xdr:colOff>
      <xdr:row>4</xdr:row>
      <xdr:rowOff>136979</xdr:rowOff>
    </xdr:from>
    <xdr:to>
      <xdr:col>1</xdr:col>
      <xdr:colOff>270329</xdr:colOff>
      <xdr:row>25</xdr:row>
      <xdr:rowOff>119529</xdr:rowOff>
    </xdr:to>
    <xdr:sp macro="" textlink="">
      <xdr:nvSpPr>
        <xdr:cNvPr id="6" name="Rectangle: Rounded Corners 5">
          <a:extLst>
            <a:ext uri="{FF2B5EF4-FFF2-40B4-BE49-F238E27FC236}">
              <a16:creationId xmlns:a16="http://schemas.microsoft.com/office/drawing/2014/main" id="{EA2E82D0-9003-4B7C-9C68-B1E3B31F87A8}"/>
            </a:ext>
          </a:extLst>
        </xdr:cNvPr>
        <xdr:cNvSpPr/>
      </xdr:nvSpPr>
      <xdr:spPr>
        <a:xfrm>
          <a:off x="111579" y="884038"/>
          <a:ext cx="771338" cy="3904609"/>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392791</xdr:colOff>
      <xdr:row>4</xdr:row>
      <xdr:rowOff>136979</xdr:rowOff>
    </xdr:from>
    <xdr:to>
      <xdr:col>5</xdr:col>
      <xdr:colOff>92252</xdr:colOff>
      <xdr:row>11</xdr:row>
      <xdr:rowOff>90715</xdr:rowOff>
    </xdr:to>
    <xdr:sp macro="" textlink="">
      <xdr:nvSpPr>
        <xdr:cNvPr id="14" name="Rectangle: Rounded Corners 13">
          <a:extLst>
            <a:ext uri="{FF2B5EF4-FFF2-40B4-BE49-F238E27FC236}">
              <a16:creationId xmlns:a16="http://schemas.microsoft.com/office/drawing/2014/main" id="{E764AE09-3ED8-4A6B-9E1A-97D94FF97054}"/>
            </a:ext>
          </a:extLst>
        </xdr:cNvPr>
        <xdr:cNvSpPr/>
      </xdr:nvSpPr>
      <xdr:spPr>
        <a:xfrm>
          <a:off x="1000577" y="862693"/>
          <a:ext cx="2130604" cy="1223736"/>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201835</xdr:colOff>
      <xdr:row>4</xdr:row>
      <xdr:rowOff>127908</xdr:rowOff>
    </xdr:from>
    <xdr:to>
      <xdr:col>8</xdr:col>
      <xdr:colOff>509082</xdr:colOff>
      <xdr:row>11</xdr:row>
      <xdr:rowOff>81644</xdr:rowOff>
    </xdr:to>
    <xdr:sp macro="" textlink="">
      <xdr:nvSpPr>
        <xdr:cNvPr id="15" name="Rectangle: Rounded Corners 14">
          <a:extLst>
            <a:ext uri="{FF2B5EF4-FFF2-40B4-BE49-F238E27FC236}">
              <a16:creationId xmlns:a16="http://schemas.microsoft.com/office/drawing/2014/main" id="{1D7993AD-E247-43FA-AAE8-817807F4ACA5}"/>
            </a:ext>
          </a:extLst>
        </xdr:cNvPr>
        <xdr:cNvSpPr/>
      </xdr:nvSpPr>
      <xdr:spPr>
        <a:xfrm>
          <a:off x="3240764" y="853622"/>
          <a:ext cx="2130604" cy="1223736"/>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10253</xdr:colOff>
      <xdr:row>4</xdr:row>
      <xdr:rowOff>127908</xdr:rowOff>
    </xdr:from>
    <xdr:to>
      <xdr:col>12</xdr:col>
      <xdr:colOff>317499</xdr:colOff>
      <xdr:row>11</xdr:row>
      <xdr:rowOff>81644</xdr:rowOff>
    </xdr:to>
    <xdr:sp macro="" textlink="">
      <xdr:nvSpPr>
        <xdr:cNvPr id="16" name="Rectangle: Rounded Corners 15">
          <a:extLst>
            <a:ext uri="{FF2B5EF4-FFF2-40B4-BE49-F238E27FC236}">
              <a16:creationId xmlns:a16="http://schemas.microsoft.com/office/drawing/2014/main" id="{686BA1E3-6A4D-453B-B1C1-518B43B6B345}"/>
            </a:ext>
          </a:extLst>
        </xdr:cNvPr>
        <xdr:cNvSpPr/>
      </xdr:nvSpPr>
      <xdr:spPr>
        <a:xfrm>
          <a:off x="5480324" y="853622"/>
          <a:ext cx="2130604" cy="1223736"/>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376917</xdr:colOff>
      <xdr:row>17</xdr:row>
      <xdr:rowOff>89846</xdr:rowOff>
    </xdr:from>
    <xdr:to>
      <xdr:col>12</xdr:col>
      <xdr:colOff>301626</xdr:colOff>
      <xdr:row>25</xdr:row>
      <xdr:rowOff>117062</xdr:rowOff>
    </xdr:to>
    <xdr:sp macro="" textlink="">
      <xdr:nvSpPr>
        <xdr:cNvPr id="18" name="Rectangle: Rounded Corners 17">
          <a:extLst>
            <a:ext uri="{FF2B5EF4-FFF2-40B4-BE49-F238E27FC236}">
              <a16:creationId xmlns:a16="http://schemas.microsoft.com/office/drawing/2014/main" id="{965B1FE9-4BB1-4F43-B3E0-E613E08F288A}"/>
            </a:ext>
          </a:extLst>
        </xdr:cNvPr>
        <xdr:cNvSpPr/>
      </xdr:nvSpPr>
      <xdr:spPr>
        <a:xfrm>
          <a:off x="989505" y="3264846"/>
          <a:ext cx="6663180" cy="1521334"/>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401861</xdr:colOff>
      <xdr:row>12</xdr:row>
      <xdr:rowOff>18142</xdr:rowOff>
    </xdr:from>
    <xdr:to>
      <xdr:col>12</xdr:col>
      <xdr:colOff>299355</xdr:colOff>
      <xdr:row>17</xdr:row>
      <xdr:rowOff>18143</xdr:rowOff>
    </xdr:to>
    <xdr:sp macro="" textlink="">
      <xdr:nvSpPr>
        <xdr:cNvPr id="19" name="Rectangle: Rounded Corners 18">
          <a:extLst>
            <a:ext uri="{FF2B5EF4-FFF2-40B4-BE49-F238E27FC236}">
              <a16:creationId xmlns:a16="http://schemas.microsoft.com/office/drawing/2014/main" id="{094FD4B9-DABF-4F31-880A-5DD438AD8FAE}"/>
            </a:ext>
          </a:extLst>
        </xdr:cNvPr>
        <xdr:cNvSpPr/>
      </xdr:nvSpPr>
      <xdr:spPr>
        <a:xfrm>
          <a:off x="1013049" y="2208892"/>
          <a:ext cx="6620556" cy="912814"/>
        </a:xfrm>
        <a:prstGeom prst="roundRect">
          <a:avLst>
            <a:gd name="adj" fmla="val 1217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382366</xdr:colOff>
      <xdr:row>11</xdr:row>
      <xdr:rowOff>177528</xdr:rowOff>
    </xdr:from>
    <xdr:to>
      <xdr:col>20</xdr:col>
      <xdr:colOff>129732</xdr:colOff>
      <xdr:row>25</xdr:row>
      <xdr:rowOff>116076</xdr:rowOff>
    </xdr:to>
    <xdr:sp macro="" textlink="">
      <xdr:nvSpPr>
        <xdr:cNvPr id="22" name="Rectangle: Rounded Corners 21">
          <a:extLst>
            <a:ext uri="{FF2B5EF4-FFF2-40B4-BE49-F238E27FC236}">
              <a16:creationId xmlns:a16="http://schemas.microsoft.com/office/drawing/2014/main" id="{D39CA1E4-0E27-4EC7-BB05-08BDEE7C9F1F}"/>
            </a:ext>
          </a:extLst>
        </xdr:cNvPr>
        <xdr:cNvSpPr/>
      </xdr:nvSpPr>
      <xdr:spPr>
        <a:xfrm>
          <a:off x="7674624" y="2205431"/>
          <a:ext cx="4608871" cy="2519516"/>
        </a:xfrm>
        <a:prstGeom prst="roundRect">
          <a:avLst>
            <a:gd name="adj" fmla="val 522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226788</xdr:colOff>
      <xdr:row>0</xdr:row>
      <xdr:rowOff>117927</xdr:rowOff>
    </xdr:from>
    <xdr:to>
      <xdr:col>9</xdr:col>
      <xdr:colOff>589643</xdr:colOff>
      <xdr:row>2</xdr:row>
      <xdr:rowOff>108857</xdr:rowOff>
    </xdr:to>
    <xdr:sp macro="" textlink="">
      <xdr:nvSpPr>
        <xdr:cNvPr id="23" name="TextBox 22">
          <a:extLst>
            <a:ext uri="{FF2B5EF4-FFF2-40B4-BE49-F238E27FC236}">
              <a16:creationId xmlns:a16="http://schemas.microsoft.com/office/drawing/2014/main" id="{317333F5-B625-4BF5-B703-B4FD00D9EE92}"/>
            </a:ext>
          </a:extLst>
        </xdr:cNvPr>
        <xdr:cNvSpPr txBox="1"/>
      </xdr:nvSpPr>
      <xdr:spPr>
        <a:xfrm>
          <a:off x="1442359" y="117927"/>
          <a:ext cx="4617355" cy="353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Hospital Emergency</a:t>
          </a:r>
          <a:r>
            <a:rPr lang="en-US" sz="2000" baseline="0"/>
            <a:t> Room Dashboard</a:t>
          </a:r>
          <a:endParaRPr lang="en-US" sz="2000"/>
        </a:p>
      </xdr:txBody>
    </xdr:sp>
    <xdr:clientData/>
  </xdr:twoCellAnchor>
  <xdr:twoCellAnchor editAs="oneCell">
    <xdr:from>
      <xdr:col>0</xdr:col>
      <xdr:colOff>317501</xdr:colOff>
      <xdr:row>0</xdr:row>
      <xdr:rowOff>72573</xdr:rowOff>
    </xdr:from>
    <xdr:to>
      <xdr:col>1</xdr:col>
      <xdr:colOff>580571</xdr:colOff>
      <xdr:row>4</xdr:row>
      <xdr:rowOff>81643</xdr:rowOff>
    </xdr:to>
    <xdr:pic>
      <xdr:nvPicPr>
        <xdr:cNvPr id="27" name="Picture 26">
          <a:extLst>
            <a:ext uri="{FF2B5EF4-FFF2-40B4-BE49-F238E27FC236}">
              <a16:creationId xmlns:a16="http://schemas.microsoft.com/office/drawing/2014/main" id="{8237F4C9-948C-40D8-992A-AEBF156C6EDE}"/>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714" b="90000" l="7738" r="91071">
                      <a14:foregroundMark x1="50595" y1="34286" x2="50595" y2="34286"/>
                      <a14:foregroundMark x1="7738" y1="35714" x2="7738" y2="35714"/>
                    </a14:backgroundRemoval>
                  </a14:imgEffect>
                </a14:imgLayer>
              </a14:imgProps>
            </a:ext>
            <a:ext uri="{28A0092B-C50C-407E-A947-70E740481C1C}">
              <a14:useLocalDpi xmlns:a14="http://schemas.microsoft.com/office/drawing/2010/main" val="0"/>
            </a:ext>
          </a:extLst>
        </a:blip>
        <a:srcRect l="12957" t="1563" r="-16844" b="-1563"/>
        <a:stretch/>
      </xdr:blipFill>
      <xdr:spPr>
        <a:xfrm>
          <a:off x="317501" y="72573"/>
          <a:ext cx="870856" cy="734784"/>
        </a:xfrm>
        <a:prstGeom prst="rect">
          <a:avLst/>
        </a:prstGeom>
      </xdr:spPr>
    </xdr:pic>
    <xdr:clientData/>
  </xdr:twoCellAnchor>
  <xdr:twoCellAnchor editAs="absolute">
    <xdr:from>
      <xdr:col>3</xdr:col>
      <xdr:colOff>22144</xdr:colOff>
      <xdr:row>2</xdr:row>
      <xdr:rowOff>31800</xdr:rowOff>
    </xdr:from>
    <xdr:to>
      <xdr:col>8</xdr:col>
      <xdr:colOff>464302</xdr:colOff>
      <xdr:row>3</xdr:row>
      <xdr:rowOff>122513</xdr:rowOff>
    </xdr:to>
    <xdr:sp macro="" textlink="Helper_Pivottable!F2">
      <xdr:nvSpPr>
        <xdr:cNvPr id="28" name="TextBox 27">
          <a:extLst>
            <a:ext uri="{FF2B5EF4-FFF2-40B4-BE49-F238E27FC236}">
              <a16:creationId xmlns:a16="http://schemas.microsoft.com/office/drawing/2014/main" id="{696FD7C1-86A0-48F7-9BAC-FC41CF44FF12}"/>
            </a:ext>
          </a:extLst>
        </xdr:cNvPr>
        <xdr:cNvSpPr txBox="1"/>
      </xdr:nvSpPr>
      <xdr:spPr>
        <a:xfrm>
          <a:off x="1845209" y="400510"/>
          <a:ext cx="3480598" cy="275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FCACBA7-22E6-465A-86D8-2C3695BBBB03}" type="TxLink">
            <a:rPr lang="en-US" sz="2000" b="0" i="0" u="none" strike="noStrike">
              <a:solidFill>
                <a:schemeClr val="accent2">
                  <a:lumMod val="75000"/>
                </a:schemeClr>
              </a:solidFill>
              <a:latin typeface="Calibri"/>
              <a:ea typeface="Calibri"/>
              <a:cs typeface="Calibri"/>
            </a:rPr>
            <a:pPr/>
            <a:t>December 2023 Monthly Report</a:t>
          </a:fld>
          <a:endParaRPr lang="en-US" sz="2000" b="0">
            <a:solidFill>
              <a:schemeClr val="accent2">
                <a:lumMod val="75000"/>
              </a:schemeClr>
            </a:solidFill>
          </a:endParaRPr>
        </a:p>
      </xdr:txBody>
    </xdr:sp>
    <xdr:clientData/>
  </xdr:twoCellAnchor>
  <xdr:twoCellAnchor editAs="absolute">
    <xdr:from>
      <xdr:col>2</xdr:col>
      <xdr:colOff>22680</xdr:colOff>
      <xdr:row>5</xdr:row>
      <xdr:rowOff>49893</xdr:rowOff>
    </xdr:from>
    <xdr:to>
      <xdr:col>4</xdr:col>
      <xdr:colOff>388938</xdr:colOff>
      <xdr:row>7</xdr:row>
      <xdr:rowOff>31750</xdr:rowOff>
    </xdr:to>
    <xdr:sp macro="" textlink="'Pivot Report'!A3">
      <xdr:nvSpPr>
        <xdr:cNvPr id="30" name="TextBox 29">
          <a:extLst>
            <a:ext uri="{FF2B5EF4-FFF2-40B4-BE49-F238E27FC236}">
              <a16:creationId xmlns:a16="http://schemas.microsoft.com/office/drawing/2014/main" id="{49FC9C61-C115-4D93-A778-EEFE9240C491}"/>
            </a:ext>
          </a:extLst>
        </xdr:cNvPr>
        <xdr:cNvSpPr txBox="1"/>
      </xdr:nvSpPr>
      <xdr:spPr>
        <a:xfrm>
          <a:off x="1245055" y="962706"/>
          <a:ext cx="1588633"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7EA41B2-E232-4467-9DB3-CF4312556F92}" type="TxLink">
            <a:rPr lang="en-US" sz="2200" b="0" i="0" u="none" strike="noStrike">
              <a:solidFill>
                <a:srgbClr val="000000"/>
              </a:solidFill>
              <a:latin typeface="Calibri"/>
              <a:ea typeface="Calibri"/>
              <a:cs typeface="Calibri"/>
            </a:rPr>
            <a:pPr algn="ctr"/>
            <a:t>159</a:t>
          </a:fld>
          <a:endParaRPr lang="en-US" sz="2200"/>
        </a:p>
      </xdr:txBody>
    </xdr:sp>
    <xdr:clientData/>
  </xdr:twoCellAnchor>
  <xdr:twoCellAnchor editAs="absolute">
    <xdr:from>
      <xdr:col>2</xdr:col>
      <xdr:colOff>383781</xdr:colOff>
      <xdr:row>6</xdr:row>
      <xdr:rowOff>138315</xdr:rowOff>
    </xdr:from>
    <xdr:to>
      <xdr:col>4</xdr:col>
      <xdr:colOff>447281</xdr:colOff>
      <xdr:row>8</xdr:row>
      <xdr:rowOff>92959</xdr:rowOff>
    </xdr:to>
    <xdr:sp macro="" textlink="">
      <xdr:nvSpPr>
        <xdr:cNvPr id="31" name="TextBox 30">
          <a:extLst>
            <a:ext uri="{FF2B5EF4-FFF2-40B4-BE49-F238E27FC236}">
              <a16:creationId xmlns:a16="http://schemas.microsoft.com/office/drawing/2014/main" id="{47F17E82-D349-4EB8-95A2-FADB78945680}"/>
            </a:ext>
          </a:extLst>
        </xdr:cNvPr>
        <xdr:cNvSpPr txBox="1"/>
      </xdr:nvSpPr>
      <xdr:spPr>
        <a:xfrm>
          <a:off x="1599157" y="1244444"/>
          <a:ext cx="1278877" cy="323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No of Patients</a:t>
          </a:r>
        </a:p>
        <a:p>
          <a:endParaRPr lang="en-US" sz="1200"/>
        </a:p>
      </xdr:txBody>
    </xdr:sp>
    <xdr:clientData/>
  </xdr:twoCellAnchor>
  <xdr:twoCellAnchor editAs="absolute">
    <xdr:from>
      <xdr:col>5</xdr:col>
      <xdr:colOff>193219</xdr:colOff>
      <xdr:row>4</xdr:row>
      <xdr:rowOff>136979</xdr:rowOff>
    </xdr:from>
    <xdr:to>
      <xdr:col>8</xdr:col>
      <xdr:colOff>500466</xdr:colOff>
      <xdr:row>11</xdr:row>
      <xdr:rowOff>90715</xdr:rowOff>
    </xdr:to>
    <xdr:sp macro="" textlink="">
      <xdr:nvSpPr>
        <xdr:cNvPr id="33" name="Rectangle: Rounded Corners 32">
          <a:extLst>
            <a:ext uri="{FF2B5EF4-FFF2-40B4-BE49-F238E27FC236}">
              <a16:creationId xmlns:a16="http://schemas.microsoft.com/office/drawing/2014/main" id="{B8FE2274-8042-4150-85B7-5F436F229767}"/>
            </a:ext>
          </a:extLst>
        </xdr:cNvPr>
        <xdr:cNvSpPr/>
      </xdr:nvSpPr>
      <xdr:spPr>
        <a:xfrm>
          <a:off x="3232148" y="862693"/>
          <a:ext cx="2130604" cy="1223736"/>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212045</xdr:colOff>
      <xdr:row>5</xdr:row>
      <xdr:rowOff>81643</xdr:rowOff>
    </xdr:from>
    <xdr:to>
      <xdr:col>8</xdr:col>
      <xdr:colOff>438831</xdr:colOff>
      <xdr:row>7</xdr:row>
      <xdr:rowOff>63500</xdr:rowOff>
    </xdr:to>
    <xdr:sp macro="" textlink="'Pivot Report'!A7">
      <xdr:nvSpPr>
        <xdr:cNvPr id="34" name="TextBox 33">
          <a:extLst>
            <a:ext uri="{FF2B5EF4-FFF2-40B4-BE49-F238E27FC236}">
              <a16:creationId xmlns:a16="http://schemas.microsoft.com/office/drawing/2014/main" id="{F6B3ABFD-868F-42DF-949D-C05719305092}"/>
            </a:ext>
          </a:extLst>
        </xdr:cNvPr>
        <xdr:cNvSpPr txBox="1"/>
      </xdr:nvSpPr>
      <xdr:spPr>
        <a:xfrm>
          <a:off x="3267983" y="994456"/>
          <a:ext cx="2060348"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F7D542B-F819-487F-8DC4-4DB5B790D767}" type="TxLink">
            <a:rPr lang="en-US" sz="2200" b="0" i="0" u="none" strike="noStrike">
              <a:solidFill>
                <a:srgbClr val="000000"/>
              </a:solidFill>
              <a:latin typeface="Calibri"/>
              <a:ea typeface="Calibri"/>
              <a:cs typeface="Calibri"/>
            </a:rPr>
            <a:pPr algn="ctr"/>
            <a:t>34.92</a:t>
          </a:fld>
          <a:endParaRPr lang="en-US" sz="2200"/>
        </a:p>
      </xdr:txBody>
    </xdr:sp>
    <xdr:clientData/>
  </xdr:twoCellAnchor>
  <xdr:twoCellAnchor editAs="absolute">
    <xdr:from>
      <xdr:col>5</xdr:col>
      <xdr:colOff>464301</xdr:colOff>
      <xdr:row>6</xdr:row>
      <xdr:rowOff>162663</xdr:rowOff>
    </xdr:from>
    <xdr:to>
      <xdr:col>9</xdr:col>
      <xdr:colOff>163871</xdr:colOff>
      <xdr:row>8</xdr:row>
      <xdr:rowOff>79230</xdr:rowOff>
    </xdr:to>
    <xdr:sp macro="" textlink="">
      <xdr:nvSpPr>
        <xdr:cNvPr id="35" name="TextBox 34">
          <a:extLst>
            <a:ext uri="{FF2B5EF4-FFF2-40B4-BE49-F238E27FC236}">
              <a16:creationId xmlns:a16="http://schemas.microsoft.com/office/drawing/2014/main" id="{7E294EC6-2B91-413A-A2B8-DFB1F762A710}"/>
            </a:ext>
          </a:extLst>
        </xdr:cNvPr>
        <xdr:cNvSpPr txBox="1"/>
      </xdr:nvSpPr>
      <xdr:spPr>
        <a:xfrm>
          <a:off x="3502742" y="1268792"/>
          <a:ext cx="2130323" cy="28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Average Wait Time (Min)</a:t>
          </a:r>
        </a:p>
        <a:p>
          <a:endParaRPr lang="en-US" sz="1200"/>
        </a:p>
        <a:p>
          <a:endParaRPr lang="en-US" sz="1200"/>
        </a:p>
      </xdr:txBody>
    </xdr:sp>
    <xdr:clientData/>
  </xdr:twoCellAnchor>
  <xdr:twoCellAnchor editAs="absolute">
    <xdr:from>
      <xdr:col>9</xdr:col>
      <xdr:colOff>102054</xdr:colOff>
      <xdr:row>5</xdr:row>
      <xdr:rowOff>73706</xdr:rowOff>
    </xdr:from>
    <xdr:to>
      <xdr:col>12</xdr:col>
      <xdr:colOff>156482</xdr:colOff>
      <xdr:row>7</xdr:row>
      <xdr:rowOff>46492</xdr:rowOff>
    </xdr:to>
    <xdr:sp macro="" textlink="'Pivot Report'!A10">
      <xdr:nvSpPr>
        <xdr:cNvPr id="36" name="TextBox 35">
          <a:extLst>
            <a:ext uri="{FF2B5EF4-FFF2-40B4-BE49-F238E27FC236}">
              <a16:creationId xmlns:a16="http://schemas.microsoft.com/office/drawing/2014/main" id="{F4C43BC4-38A9-48BA-932D-45ED0F245F85}"/>
            </a:ext>
          </a:extLst>
        </xdr:cNvPr>
        <xdr:cNvSpPr txBox="1"/>
      </xdr:nvSpPr>
      <xdr:spPr>
        <a:xfrm>
          <a:off x="5602742" y="986519"/>
          <a:ext cx="1887990" cy="337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4EB2D2B-CEDA-4E3E-93F2-7F3610F150BB}" type="TxLink">
            <a:rPr lang="en-US" sz="2200" b="0" i="0" u="none" strike="noStrike">
              <a:solidFill>
                <a:srgbClr val="000000"/>
              </a:solidFill>
              <a:latin typeface="Calibri"/>
              <a:ea typeface="Calibri"/>
              <a:cs typeface="Calibri"/>
            </a:rPr>
            <a:pPr algn="ctr"/>
            <a:t>3.92</a:t>
          </a:fld>
          <a:endParaRPr lang="en-US" sz="2200"/>
        </a:p>
      </xdr:txBody>
    </xdr:sp>
    <xdr:clientData/>
  </xdr:twoCellAnchor>
  <xdr:twoCellAnchor editAs="absolute">
    <xdr:from>
      <xdr:col>9</xdr:col>
      <xdr:colOff>109247</xdr:colOff>
      <xdr:row>6</xdr:row>
      <xdr:rowOff>149631</xdr:rowOff>
    </xdr:from>
    <xdr:to>
      <xdr:col>12</xdr:col>
      <xdr:colOff>457473</xdr:colOff>
      <xdr:row>8</xdr:row>
      <xdr:rowOff>104274</xdr:rowOff>
    </xdr:to>
    <xdr:sp macro="" textlink="">
      <xdr:nvSpPr>
        <xdr:cNvPr id="37" name="TextBox 36">
          <a:extLst>
            <a:ext uri="{FF2B5EF4-FFF2-40B4-BE49-F238E27FC236}">
              <a16:creationId xmlns:a16="http://schemas.microsoft.com/office/drawing/2014/main" id="{C12CB394-A3F7-4280-AEFF-D3A6CEC44929}"/>
            </a:ext>
          </a:extLst>
        </xdr:cNvPr>
        <xdr:cNvSpPr txBox="1"/>
      </xdr:nvSpPr>
      <xdr:spPr>
        <a:xfrm>
          <a:off x="5578441" y="1255760"/>
          <a:ext cx="2171290" cy="323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Patient Satisfaction Score (/10)</a:t>
          </a:r>
        </a:p>
        <a:p>
          <a:endParaRPr lang="en-US" sz="1200"/>
        </a:p>
        <a:p>
          <a:endParaRPr lang="en-US" sz="1200"/>
        </a:p>
      </xdr:txBody>
    </xdr:sp>
    <xdr:clientData/>
  </xdr:twoCellAnchor>
  <xdr:twoCellAnchor editAs="oneCell">
    <xdr:from>
      <xdr:col>4</xdr:col>
      <xdr:colOff>344714</xdr:colOff>
      <xdr:row>4</xdr:row>
      <xdr:rowOff>154215</xdr:rowOff>
    </xdr:from>
    <xdr:to>
      <xdr:col>5</xdr:col>
      <xdr:colOff>81643</xdr:colOff>
      <xdr:row>6</xdr:row>
      <xdr:rowOff>136073</xdr:rowOff>
    </xdr:to>
    <xdr:pic>
      <xdr:nvPicPr>
        <xdr:cNvPr id="39" name="Graphic 38" descr="User with solid fill">
          <a:extLst>
            <a:ext uri="{FF2B5EF4-FFF2-40B4-BE49-F238E27FC236}">
              <a16:creationId xmlns:a16="http://schemas.microsoft.com/office/drawing/2014/main" id="{0892B0CA-71C1-42C0-8E89-6348A240CF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75857" y="879929"/>
          <a:ext cx="344715" cy="344715"/>
        </a:xfrm>
        <a:prstGeom prst="rect">
          <a:avLst/>
        </a:prstGeom>
      </xdr:spPr>
    </xdr:pic>
    <xdr:clientData/>
  </xdr:twoCellAnchor>
  <xdr:twoCellAnchor editAs="oneCell">
    <xdr:from>
      <xdr:col>8</xdr:col>
      <xdr:colOff>81642</xdr:colOff>
      <xdr:row>4</xdr:row>
      <xdr:rowOff>145143</xdr:rowOff>
    </xdr:from>
    <xdr:to>
      <xdr:col>8</xdr:col>
      <xdr:colOff>453571</xdr:colOff>
      <xdr:row>6</xdr:row>
      <xdr:rowOff>154215</xdr:rowOff>
    </xdr:to>
    <xdr:pic>
      <xdr:nvPicPr>
        <xdr:cNvPr id="43" name="Graphic 42" descr="Clock with solid fill">
          <a:extLst>
            <a:ext uri="{FF2B5EF4-FFF2-40B4-BE49-F238E27FC236}">
              <a16:creationId xmlns:a16="http://schemas.microsoft.com/office/drawing/2014/main" id="{C4E5A149-CEAF-4341-B9CA-FDBA478B5B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943928" y="870857"/>
          <a:ext cx="371929" cy="371929"/>
        </a:xfrm>
        <a:prstGeom prst="rect">
          <a:avLst/>
        </a:prstGeom>
      </xdr:spPr>
    </xdr:pic>
    <xdr:clientData/>
  </xdr:twoCellAnchor>
  <xdr:twoCellAnchor editAs="oneCell">
    <xdr:from>
      <xdr:col>12</xdr:col>
      <xdr:colOff>27215</xdr:colOff>
      <xdr:row>4</xdr:row>
      <xdr:rowOff>163287</xdr:rowOff>
    </xdr:from>
    <xdr:to>
      <xdr:col>12</xdr:col>
      <xdr:colOff>281215</xdr:colOff>
      <xdr:row>6</xdr:row>
      <xdr:rowOff>102484</xdr:rowOff>
    </xdr:to>
    <xdr:pic>
      <xdr:nvPicPr>
        <xdr:cNvPr id="45" name="Graphic 44" descr="Checklist with solid fill">
          <a:extLst>
            <a:ext uri="{FF2B5EF4-FFF2-40B4-BE49-F238E27FC236}">
              <a16:creationId xmlns:a16="http://schemas.microsoft.com/office/drawing/2014/main" id="{473EEEBC-B309-4597-BD7A-A31B2B6D724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320644" y="889001"/>
          <a:ext cx="254000" cy="302054"/>
        </a:xfrm>
        <a:prstGeom prst="rect">
          <a:avLst/>
        </a:prstGeom>
      </xdr:spPr>
    </xdr:pic>
    <xdr:clientData/>
  </xdr:twoCellAnchor>
  <xdr:twoCellAnchor editAs="oneCell">
    <xdr:from>
      <xdr:col>0</xdr:col>
      <xdr:colOff>152133</xdr:colOff>
      <xdr:row>4</xdr:row>
      <xdr:rowOff>156882</xdr:rowOff>
    </xdr:from>
    <xdr:to>
      <xdr:col>1</xdr:col>
      <xdr:colOff>283668</xdr:colOff>
      <xdr:row>25</xdr:row>
      <xdr:rowOff>112058</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5B389535-3CCA-4B9C-91AF-116DCFF1172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2133" y="894301"/>
              <a:ext cx="739223" cy="3826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214312</xdr:colOff>
      <xdr:row>7</xdr:row>
      <xdr:rowOff>47624</xdr:rowOff>
    </xdr:from>
    <xdr:to>
      <xdr:col>5</xdr:col>
      <xdr:colOff>317500</xdr:colOff>
      <xdr:row>13</xdr:row>
      <xdr:rowOff>55562</xdr:rowOff>
    </xdr:to>
    <xdr:graphicFrame macro="">
      <xdr:nvGraphicFramePr>
        <xdr:cNvPr id="29" name="Chart 28">
          <a:extLst>
            <a:ext uri="{FF2B5EF4-FFF2-40B4-BE49-F238E27FC236}">
              <a16:creationId xmlns:a16="http://schemas.microsoft.com/office/drawing/2014/main" id="{070B6DCC-3565-427C-8858-369F3D0CF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168272</xdr:colOff>
      <xdr:row>7</xdr:row>
      <xdr:rowOff>126999</xdr:rowOff>
    </xdr:from>
    <xdr:to>
      <xdr:col>9</xdr:col>
      <xdr:colOff>166687</xdr:colOff>
      <xdr:row>12</xdr:row>
      <xdr:rowOff>39689</xdr:rowOff>
    </xdr:to>
    <xdr:graphicFrame macro="">
      <xdr:nvGraphicFramePr>
        <xdr:cNvPr id="32" name="Chart 31">
          <a:extLst>
            <a:ext uri="{FF2B5EF4-FFF2-40B4-BE49-F238E27FC236}">
              <a16:creationId xmlns:a16="http://schemas.microsoft.com/office/drawing/2014/main" id="{C07158E0-E80F-40ED-AA74-650844423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479653</xdr:colOff>
      <xdr:row>7</xdr:row>
      <xdr:rowOff>10430</xdr:rowOff>
    </xdr:from>
    <xdr:to>
      <xdr:col>12</xdr:col>
      <xdr:colOff>476250</xdr:colOff>
      <xdr:row>12</xdr:row>
      <xdr:rowOff>47625</xdr:rowOff>
    </xdr:to>
    <xdr:graphicFrame macro="">
      <xdr:nvGraphicFramePr>
        <xdr:cNvPr id="38" name="Chart 37">
          <a:extLst>
            <a:ext uri="{FF2B5EF4-FFF2-40B4-BE49-F238E27FC236}">
              <a16:creationId xmlns:a16="http://schemas.microsoft.com/office/drawing/2014/main" id="{C8CDA789-A942-4CE7-9643-9D9DBBA19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388471</xdr:colOff>
      <xdr:row>17</xdr:row>
      <xdr:rowOff>89648</xdr:rowOff>
    </xdr:from>
    <xdr:to>
      <xdr:col>12</xdr:col>
      <xdr:colOff>283882</xdr:colOff>
      <xdr:row>24</xdr:row>
      <xdr:rowOff>1</xdr:rowOff>
    </xdr:to>
    <xdr:graphicFrame macro="">
      <xdr:nvGraphicFramePr>
        <xdr:cNvPr id="55" name="Chart 54">
          <a:extLst>
            <a:ext uri="{FF2B5EF4-FFF2-40B4-BE49-F238E27FC236}">
              <a16:creationId xmlns:a16="http://schemas.microsoft.com/office/drawing/2014/main" id="{3D458A9B-CADA-47F9-AD72-A917AEDE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15876</xdr:colOff>
      <xdr:row>0</xdr:row>
      <xdr:rowOff>7938</xdr:rowOff>
    </xdr:from>
    <xdr:to>
      <xdr:col>15</xdr:col>
      <xdr:colOff>388937</xdr:colOff>
      <xdr:row>9</xdr:row>
      <xdr:rowOff>95250</xdr:rowOff>
    </xdr:to>
    <xdr:graphicFrame macro="">
      <xdr:nvGraphicFramePr>
        <xdr:cNvPr id="57" name="Chart 56">
          <a:extLst>
            <a:ext uri="{FF2B5EF4-FFF2-40B4-BE49-F238E27FC236}">
              <a16:creationId xmlns:a16="http://schemas.microsoft.com/office/drawing/2014/main" id="{A1F0A942-B156-4B81-BFDF-EB4C2A33E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12</xdr:col>
      <xdr:colOff>583974</xdr:colOff>
      <xdr:row>9</xdr:row>
      <xdr:rowOff>71662</xdr:rowOff>
    </xdr:from>
    <xdr:to>
      <xdr:col>16</xdr:col>
      <xdr:colOff>31750</xdr:colOff>
      <xdr:row>11</xdr:row>
      <xdr:rowOff>53519</xdr:rowOff>
    </xdr:to>
    <xdr:sp macro="" textlink="'Pivot Report'!A3">
      <xdr:nvSpPr>
        <xdr:cNvPr id="58" name="TextBox 57">
          <a:extLst>
            <a:ext uri="{FF2B5EF4-FFF2-40B4-BE49-F238E27FC236}">
              <a16:creationId xmlns:a16="http://schemas.microsoft.com/office/drawing/2014/main" id="{42C16D94-5A34-401B-A631-06718BA02278}"/>
            </a:ext>
          </a:extLst>
        </xdr:cNvPr>
        <xdr:cNvSpPr txBox="1"/>
      </xdr:nvSpPr>
      <xdr:spPr>
        <a:xfrm>
          <a:off x="7918224" y="1714725"/>
          <a:ext cx="1892526"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t>Patient</a:t>
          </a:r>
          <a:r>
            <a:rPr lang="en-US" sz="1600" baseline="0"/>
            <a:t> Attend Status</a:t>
          </a:r>
          <a:endParaRPr lang="en-US" sz="1600"/>
        </a:p>
      </xdr:txBody>
    </xdr:sp>
    <xdr:clientData/>
  </xdr:twoCellAnchor>
  <xdr:twoCellAnchor>
    <xdr:from>
      <xdr:col>16</xdr:col>
      <xdr:colOff>261938</xdr:colOff>
      <xdr:row>0</xdr:row>
      <xdr:rowOff>31750</xdr:rowOff>
    </xdr:from>
    <xdr:to>
      <xdr:col>20</xdr:col>
      <xdr:colOff>412751</xdr:colOff>
      <xdr:row>12</xdr:row>
      <xdr:rowOff>71437</xdr:rowOff>
    </xdr:to>
    <xdr:graphicFrame macro="">
      <xdr:nvGraphicFramePr>
        <xdr:cNvPr id="59" name="Chart 58">
          <a:extLst>
            <a:ext uri="{FF2B5EF4-FFF2-40B4-BE49-F238E27FC236}">
              <a16:creationId xmlns:a16="http://schemas.microsoft.com/office/drawing/2014/main" id="{CC3E96E4-2EA3-4235-99B1-1F98ECB31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16</xdr:col>
      <xdr:colOff>51991</xdr:colOff>
      <xdr:row>9</xdr:row>
      <xdr:rowOff>127000</xdr:rowOff>
    </xdr:from>
    <xdr:to>
      <xdr:col>20</xdr:col>
      <xdr:colOff>285581</xdr:colOff>
      <xdr:row>10</xdr:row>
      <xdr:rowOff>180518</xdr:rowOff>
    </xdr:to>
    <xdr:sp macro="" textlink="'Pivot Report'!A3">
      <xdr:nvSpPr>
        <xdr:cNvPr id="60" name="TextBox 59">
          <a:extLst>
            <a:ext uri="{FF2B5EF4-FFF2-40B4-BE49-F238E27FC236}">
              <a16:creationId xmlns:a16="http://schemas.microsoft.com/office/drawing/2014/main" id="{1D419600-D446-4B7C-BF26-708D459448A8}"/>
            </a:ext>
          </a:extLst>
        </xdr:cNvPr>
        <xdr:cNvSpPr txBox="1"/>
      </xdr:nvSpPr>
      <xdr:spPr>
        <a:xfrm>
          <a:off x="9775002" y="1786194"/>
          <a:ext cx="2664342" cy="23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t>Gender</a:t>
          </a:r>
          <a:r>
            <a:rPr lang="en-US" sz="1600" baseline="0"/>
            <a:t> </a:t>
          </a:r>
          <a:r>
            <a:rPr lang="en-US" sz="1600"/>
            <a:t>Analysis</a:t>
          </a:r>
        </a:p>
      </xdr:txBody>
    </xdr:sp>
    <xdr:clientData/>
  </xdr:twoCellAnchor>
  <xdr:twoCellAnchor>
    <xdr:from>
      <xdr:col>12</xdr:col>
      <xdr:colOff>436563</xdr:colOff>
      <xdr:row>12</xdr:row>
      <xdr:rowOff>39687</xdr:rowOff>
    </xdr:from>
    <xdr:to>
      <xdr:col>20</xdr:col>
      <xdr:colOff>127000</xdr:colOff>
      <xdr:row>23</xdr:row>
      <xdr:rowOff>158750</xdr:rowOff>
    </xdr:to>
    <xdr:graphicFrame macro="">
      <xdr:nvGraphicFramePr>
        <xdr:cNvPr id="61" name="Chart 60">
          <a:extLst>
            <a:ext uri="{FF2B5EF4-FFF2-40B4-BE49-F238E27FC236}">
              <a16:creationId xmlns:a16="http://schemas.microsoft.com/office/drawing/2014/main" id="{162EA4AC-FA31-4029-8F39-AE1432AFB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13</xdr:col>
      <xdr:colOff>382280</xdr:colOff>
      <xdr:row>23</xdr:row>
      <xdr:rowOff>182561</xdr:rowOff>
    </xdr:from>
    <xdr:to>
      <xdr:col>19</xdr:col>
      <xdr:colOff>152093</xdr:colOff>
      <xdr:row>25</xdr:row>
      <xdr:rowOff>63499</xdr:rowOff>
    </xdr:to>
    <xdr:sp macro="" textlink="'Pivot Report'!A3">
      <xdr:nvSpPr>
        <xdr:cNvPr id="62" name="TextBox 61">
          <a:extLst>
            <a:ext uri="{FF2B5EF4-FFF2-40B4-BE49-F238E27FC236}">
              <a16:creationId xmlns:a16="http://schemas.microsoft.com/office/drawing/2014/main" id="{A13B35E9-EF23-4FC8-BAF3-2FDA009F18F5}"/>
            </a:ext>
          </a:extLst>
        </xdr:cNvPr>
        <xdr:cNvSpPr txBox="1"/>
      </xdr:nvSpPr>
      <xdr:spPr>
        <a:xfrm>
          <a:off x="8282226" y="4422722"/>
          <a:ext cx="3415942" cy="249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aseline="0"/>
            <a:t>Patients by Department Referral</a:t>
          </a:r>
          <a:endParaRPr lang="en-US" sz="1600"/>
        </a:p>
      </xdr:txBody>
    </xdr:sp>
    <xdr:clientData/>
  </xdr:twoCellAnchor>
  <xdr:twoCellAnchor editAs="oneCell">
    <xdr:from>
      <xdr:col>10</xdr:col>
      <xdr:colOff>223385</xdr:colOff>
      <xdr:row>1</xdr:row>
      <xdr:rowOff>39687</xdr:rowOff>
    </xdr:from>
    <xdr:to>
      <xdr:col>12</xdr:col>
      <xdr:colOff>230188</xdr:colOff>
      <xdr:row>3</xdr:row>
      <xdr:rowOff>111125</xdr:rowOff>
    </xdr:to>
    <mc:AlternateContent xmlns:mc="http://schemas.openxmlformats.org/markup-compatibility/2006" xmlns:a14="http://schemas.microsoft.com/office/drawing/2010/main">
      <mc:Choice Requires="a14">
        <xdr:graphicFrame macro="">
          <xdr:nvGraphicFramePr>
            <xdr:cNvPr id="63" name="Date (Year)">
              <a:extLst>
                <a:ext uri="{FF2B5EF4-FFF2-40B4-BE49-F238E27FC236}">
                  <a16:creationId xmlns:a16="http://schemas.microsoft.com/office/drawing/2014/main" id="{1DF1FCB6-1CB9-4854-A445-B264C9A3CB4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349267" y="226452"/>
              <a:ext cx="1231980" cy="444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389562</xdr:colOff>
          <xdr:row>12</xdr:row>
          <xdr:rowOff>15876</xdr:rowOff>
        </xdr:from>
        <xdr:to>
          <xdr:col>12</xdr:col>
          <xdr:colOff>317500</xdr:colOff>
          <xdr:row>17</xdr:row>
          <xdr:rowOff>31750</xdr:rowOff>
        </xdr:to>
        <xdr:pic>
          <xdr:nvPicPr>
            <xdr:cNvPr id="65" name="Picture 64">
              <a:extLst>
                <a:ext uri="{FF2B5EF4-FFF2-40B4-BE49-F238E27FC236}">
                  <a16:creationId xmlns:a16="http://schemas.microsoft.com/office/drawing/2014/main" id="{21BF2614-CC71-4F99-9CE9-BE6B42C642C4}"/>
                </a:ext>
              </a:extLst>
            </xdr:cNvPr>
            <xdr:cNvPicPr>
              <a:picLocks noChangeAspect="1" noChangeArrowheads="1"/>
              <a:extLst>
                <a:ext uri="{84589F7E-364E-4C9E-8A38-B11213B215E9}">
                  <a14:cameraTool cellRange="'Pivot Report'!$A$26:$E$28" spid="_x0000_s1075"/>
                </a:ext>
              </a:extLst>
            </xdr:cNvPicPr>
          </xdr:nvPicPr>
          <xdr:blipFill>
            <a:blip xmlns:r="http://schemas.openxmlformats.org/officeDocument/2006/relationships" r:embed="rId16"/>
            <a:srcRect/>
            <a:stretch>
              <a:fillRect/>
            </a:stretch>
          </xdr:blipFill>
          <xdr:spPr bwMode="auto">
            <a:xfrm>
              <a:off x="997250" y="2228134"/>
              <a:ext cx="6612508" cy="937648"/>
            </a:xfrm>
            <a:prstGeom prst="roundRect">
              <a:avLst>
                <a:gd name="adj" fmla="val 865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3</xdr:col>
      <xdr:colOff>522941</xdr:colOff>
      <xdr:row>23</xdr:row>
      <xdr:rowOff>179294</xdr:rowOff>
    </xdr:from>
    <xdr:to>
      <xdr:col>9</xdr:col>
      <xdr:colOff>292754</xdr:colOff>
      <xdr:row>25</xdr:row>
      <xdr:rowOff>60232</xdr:rowOff>
    </xdr:to>
    <xdr:sp macro="" textlink="'Pivot Report'!A3">
      <xdr:nvSpPr>
        <xdr:cNvPr id="40" name="TextBox 39">
          <a:extLst>
            <a:ext uri="{FF2B5EF4-FFF2-40B4-BE49-F238E27FC236}">
              <a16:creationId xmlns:a16="http://schemas.microsoft.com/office/drawing/2014/main" id="{18A2B302-71CC-4597-ADB1-1B920C5EC7EE}"/>
            </a:ext>
          </a:extLst>
        </xdr:cNvPr>
        <xdr:cNvSpPr txBox="1"/>
      </xdr:nvSpPr>
      <xdr:spPr>
        <a:xfrm>
          <a:off x="2360706" y="4474882"/>
          <a:ext cx="3445342" cy="254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a:t>Patients</a:t>
          </a:r>
          <a:r>
            <a:rPr lang="en-US" sz="1600" baseline="0"/>
            <a:t> by Age Group</a:t>
          </a:r>
        </a:p>
        <a:p>
          <a:pPr algn="ctr"/>
          <a:endParaRPr lang="en-US" sz="16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73842593" backgroundQuery="1" createdVersion="7" refreshedVersion="7" minRefreshableVersion="3" recordCount="0" supportSubquery="1" supportAdvancedDrill="1" xr:uid="{744CF2FD-886E-4A63-B3DF-E9DF9EE2E241}">
  <cacheSource type="external" connectionId="3"/>
  <cacheFields count="5">
    <cacheField name="[Measures].[Count of Patient Id]" caption="Count of Patient Id" numFmtId="0" hierarchy="23" level="32767"/>
    <cacheField name="[Calender Table].[Date (Month)].[Date (Month)]" caption="Date (Month)" numFmtId="0" hierarchy="1" level="1">
      <sharedItems containsNonDate="0" count="1">
        <s v="Aug"/>
      </sharedItems>
    </cacheField>
    <cacheField name="[Calender Table].[Date].[Date]" caption="Date" numFmtId="0" level="1">
      <sharedItems containsSemiMixedTypes="0" containsNonDate="0" containsDate="1" containsString="0" minDate="2023-08-04T00:00:00" maxDate="2024-08-11T00:00:00" count="19">
        <d v="2023-08-04T00:00:00"/>
        <d v="2023-08-05T00:00:00"/>
        <d v="2023-08-06T00:00:00"/>
        <d v="2023-08-07T00:00:00"/>
        <d v="2023-08-08T00:00:00"/>
        <d v="2023-08-09T00:00:00"/>
        <d v="2023-08-10T00:00:00"/>
        <d v="2023-08-11T00:00:00"/>
        <d v="2023-08-12T00:00:00"/>
        <d v="2024-08-01T00:00:00"/>
        <d v="2024-08-02T00:00:00"/>
        <d v="2024-08-03T00:00:00"/>
        <d v="2024-08-04T00:00:00"/>
        <d v="2024-08-05T00:00:00"/>
        <d v="2024-08-06T00:00:00"/>
        <d v="2024-08-07T00:00:00"/>
        <d v="2024-08-08T00:00:00"/>
        <d v="2024-08-09T00:00:00"/>
        <d v="2024-08-10T00:00:00"/>
      </sharedItems>
    </cacheField>
    <cacheField name="[Calender Table].[Date (Quarter)].[Date (Quarter)]" caption="Date (Quarter)" numFmtId="0" hierarchy="4" level="1">
      <sharedItems containsNonDate="0" count="1">
        <s v="Qtr3"/>
      </sharedItems>
    </cacheField>
    <cacheField name="[Calender Table].[Date (Year)].[Date (Year)]" caption="Date (Year)" numFmtId="0" hierarchy="3" level="1">
      <sharedItems count="1">
        <s v="2023"/>
      </sharedItems>
    </cacheField>
  </cacheFields>
  <cacheHierarchies count="33">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2"/>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78009257" backgroundQuery="1" createdVersion="7" refreshedVersion="7" minRefreshableVersion="3" recordCount="0" supportSubquery="1" supportAdvancedDrill="1" xr:uid="{C763537F-4D20-4ADB-B6DD-38BC4824A119}">
  <cacheSource type="external" connectionId="3"/>
  <cacheFields count="3">
    <cacheField name="[Measures].[Count of Patient Id]" caption="Count of Patient Id" numFmtId="0" hierarchy="23"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82407406" backgroundQuery="1" createdVersion="7" refreshedVersion="7" minRefreshableVersion="3" recordCount="0" supportSubquery="1" supportAdvancedDrill="1" xr:uid="{84A8B4ED-3D86-4DDF-AFE9-EDFC02C8053D}">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29" level="32767"/>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86805555" backgroundQuery="1" createdVersion="7" refreshedVersion="7" minRefreshableVersion="3" recordCount="0" supportSubquery="1" supportAdvancedDrill="1" xr:uid="{350582B5-BCA5-42F7-BF37-281ACBF4E4DA}">
  <cacheSource type="external" connectionId="3"/>
  <cacheFields count="4">
    <cacheField name="[Calender 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 Time"/>
      </sharedItems>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91319443" backgroundQuery="1" createdVersion="7" refreshedVersion="7" minRefreshableVersion="3" recordCount="0" supportSubquery="1" supportAdvancedDrill="1" xr:uid="{9A197D44-2D58-4492-A38D-48821E8BD39F}">
  <cacheSource type="external" connectionId="3"/>
  <cacheFields count="4">
    <cacheField name="[Calender Table].[Date (Month)].[Date (Month)]" caption="Date (Month)" numFmtId="0" hierarchy="1" level="1">
      <sharedItems containsSemiMixedTypes="0" containsNonDate="0" containsString="0"/>
    </cacheField>
    <cacheField name="[Measures].[Count of Patient Gender]" caption="Count of Patient Gender" numFmtId="0" hierarchy="30" level="32767"/>
    <cacheField name="[Hospital Emergency Room Data].[Patient Gender].[Patient Gender]" caption="Patient Gender" numFmtId="0" hierarchy="9" level="1">
      <sharedItems count="2">
        <s v="Female"/>
        <s v="Male"/>
      </sharedItems>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795949076" backgroundQuery="1" createdVersion="7" refreshedVersion="7" minRefreshableVersion="3" recordCount="0" supportSubquery="1" supportAdvancedDrill="1" xr:uid="{6A00737B-C596-4098-976A-8A260D4666C6}">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0023148" backgroundQuery="1" createdVersion="7" refreshedVersion="7" minRefreshableVersion="3" recordCount="0" supportSubquery="1" supportAdvancedDrill="1" xr:uid="{199EF424-72DD-471E-92F5-5D358F298A95}">
  <cacheSource type="external" connectionId="3"/>
  <cacheFields count="3">
    <cacheField name="[Measures].[Average of Patient Waittime]" caption="Average of Patient Waittime" numFmtId="0" hierarchy="25"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04629629" backgroundQuery="1" createdVersion="7" refreshedVersion="7" minRefreshableVersion="3" recordCount="0" supportSubquery="1" supportAdvancedDrill="1" xr:uid="{6686774B-7DE6-4CFC-9AC2-9AA7C5AF1CAA}">
  <cacheSource type="external" connectionId="3"/>
  <cacheFields count="3">
    <cacheField name="[Measures].[Average of Patient Satisfaction Score]" caption="Average of Patient Satisfaction Score" numFmtId="0" hierarchy="27"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09027778" backgroundQuery="1" createdVersion="7" refreshedVersion="7" minRefreshableVersion="3" recordCount="0" supportSubquery="1" supportAdvancedDrill="1" xr:uid="{D09B63E7-C707-4B96-BED8-2FE8BD770FDD}">
  <cacheSource type="external" connectionId="3"/>
  <cacheFields count="4">
    <cacheField name="[Calender Table].[Date (Day)].[Date (Day)]" caption="Date (Day)" numFmtId="0" hierarchy="2" level="1">
      <sharedItems count="9">
        <s v="4-Dec"/>
        <s v="5-Dec"/>
        <s v="6-Dec"/>
        <s v="7-Dec"/>
        <s v="8-Dec"/>
        <s v="9-Dec"/>
        <s v="10-Dec"/>
        <s v="11-Dec"/>
        <s v="12-Dec"/>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13425927" backgroundQuery="1" createdVersion="7" refreshedVersion="7" minRefreshableVersion="3" recordCount="0" supportSubquery="1" supportAdvancedDrill="1" xr:uid="{2C1F89A9-2B5F-4746-A356-EFC1C9C9CE23}">
  <cacheSource type="external" connectionId="3"/>
  <cacheFields count="4">
    <cacheField name="[Calender Table].[Date (Day)].[Date (Day)]" caption="Date (Day)" numFmtId="0" hierarchy="2" level="1">
      <sharedItems count="9">
        <s v="4-Dec"/>
        <s v="5-Dec"/>
        <s v="6-Dec"/>
        <s v="7-Dec"/>
        <s v="8-Dec"/>
        <s v="9-Dec"/>
        <s v="10-Dec"/>
        <s v="11-Dec"/>
        <s v="12-Dec"/>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18171299" backgroundQuery="1" createdVersion="7" refreshedVersion="7" minRefreshableVersion="3" recordCount="0" supportSubquery="1" supportAdvancedDrill="1" xr:uid="{9447022E-3D7C-4E40-A3C0-00AA31F58E75}">
  <cacheSource type="external" connectionId="3"/>
  <cacheFields count="4">
    <cacheField name="[Measures].[Count of Patient Id]" caption="Count of Patient Id" numFmtId="0" hierarchy="23" level="32767"/>
    <cacheField name="[Calender Table].[Date (Day)].[Date (Day)]" caption="Date (Day)" numFmtId="0" hierarchy="2" level="1">
      <sharedItems count="9">
        <s v="4-Dec"/>
        <s v="5-Dec"/>
        <s v="6-Dec"/>
        <s v="7-Dec"/>
        <s v="8-Dec"/>
        <s v="9-Dec"/>
        <s v="10-Dec"/>
        <s v="11-Dec"/>
        <s v="12-Dec"/>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22569448" backgroundQuery="1" createdVersion="7" refreshedVersion="7" minRefreshableVersion="3" recordCount="0" supportSubquery="1" supportAdvancedDrill="1" xr:uid="{E573840E-5B5D-474E-81C0-90381730BB3B}">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02182303241" backgroundQuery="1" createdVersion="7" refreshedVersion="7" minRefreshableVersion="3" recordCount="0" supportSubquery="1" supportAdvancedDrill="1" xr:uid="{EAC91214-3D58-494D-8725-737DFF36CB67}">
  <cacheSource type="external" connectionId="3"/>
  <cacheFields count="2">
    <cacheField name="[Calender Table].[Date (Month)].[Date (Month)]" caption="Date (Month)" numFmtId="0" hierarchy="1" level="1">
      <sharedItems count="1">
        <s v="Dec"/>
      </sharedItems>
    </cacheField>
    <cacheField name="[Calender Table].[Date (Year)].[Date (Year)]" caption="Date (Year)" numFmtId="0" hierarchy="3" level="1">
      <sharedItems containsSemiMixedTypes="0" containsNonDate="0" containsString="0"/>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93699386574" backgroundQuery="1" createdVersion="3" refreshedVersion="7" minRefreshableVersion="3" recordCount="0" supportSubquery="1" supportAdvancedDrill="1" xr:uid="{F1BC63BA-A326-4E39-AB96-C6D46C769617}">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387563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2A866-6B64-46B2-A770-BEF1A3004F0B}" name="PivotTable9" cacheId="11" applyNumberFormats="0" applyBorderFormats="0" applyFontFormats="0" applyPatternFormats="0" applyAlignmentFormats="0" applyWidthHeightFormats="1" dataCaption="Values" tag="586da9f2-abbd-47f3-ad0a-632427c332e9" updatedVersion="7" minRefreshableVersion="3" subtotalHiddenItems="1" itemPrintTitles="1" createdVersion="7" indent="0" outline="1" outlineData="1" multipleFieldFilters="0" chartFormat="79" rowHeaderCaption="Admission Status">
  <location ref="A31:C3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Patients" fld="1" subtotal="count" baseField="2" baseItem="0" numFmtId="164"/>
    <dataField name="% of Total"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
      <pivotArea outline="0" collapsedLevelsAreSubtotals="1" fieldPosition="0"/>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Patient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CA342-7859-4789-9EFA-5BC6DA2C4E4D}" name="PivotTable12" cacheId="4" applyNumberFormats="0" applyBorderFormats="0" applyFontFormats="0" applyPatternFormats="0" applyAlignmentFormats="0" applyWidthHeightFormats="1" dataCaption="Values" tag="3c5eb5ac-3ff1-4e47-8ce7-1fdf9de0c1b7" updatedVersion="7" minRefreshableVersion="3" subtotalHiddenItems="1" itemPrintTitles="1" createdVersion="7" indent="0" outline="1" outlineData="1" multipleFieldFilters="0" chartFormat="92" rowHeaderCaption="Admission Status">
  <location ref="D16:E1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3">
      <pivotArea outline="0" collapsedLevelsAreSubtotals="1" fieldPosition="0"/>
    </format>
  </formats>
  <chartFormats count="3">
    <chartFormat chart="91" format="4" series="1">
      <pivotArea type="data" outline="0" fieldPosition="0">
        <references count="1">
          <reference field="4294967294" count="1" selected="0">
            <x v="0"/>
          </reference>
        </references>
      </pivotArea>
    </chartFormat>
    <chartFormat chart="91" format="5">
      <pivotArea type="data" outline="0" fieldPosition="0">
        <references count="2">
          <reference field="4294967294" count="1" selected="0">
            <x v="0"/>
          </reference>
          <reference field="2" count="1" selected="0">
            <x v="0"/>
          </reference>
        </references>
      </pivotArea>
    </chartFormat>
    <chartFormat chart="91"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C7728-87CD-4E03-B198-B916100F8408}" name="PivotTable4" cacheId="8" applyNumberFormats="0" applyBorderFormats="0" applyFontFormats="0" applyPatternFormats="0" applyAlignmentFormats="0" applyWidthHeightFormats="1" dataCaption="Values" tag="ff5ad4c0-d3c6-41a8-ae12-76d43f7381d5" updatedVersion="7" minRefreshableVersion="3" subtotalHiddenItems="1" itemPrintTitles="1" createdVersion="7" indent="0" outline="1" outlineData="1" multipleFieldFilters="0" chartFormat="8">
  <location ref="F2:G12"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7BC63B-B53B-49D8-AA1D-4A8022FA80C6}" name="PivotTable7" cacheId="9" applyNumberFormats="0" applyBorderFormats="0" applyFontFormats="0" applyPatternFormats="0" applyAlignmentFormats="0" applyWidthHeightFormats="1" dataCaption="Values" tag="f6026acb-7fcd-41ac-bfb8-2c140b148a29" updatedVersion="7" minRefreshableVersion="3" subtotalHiddenItems="1" itemPrintTitles="1" createdVersion="7" indent="0" outline="1" outlineData="1" multipleFieldFilters="0" chartFormat="12">
  <location ref="I2:J12"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1DC33E-BA88-4BB7-A943-442A68C9F86C}" name="PivotTable14" cacheId="0" applyNumberFormats="0" applyBorderFormats="0" applyFontFormats="0" applyPatternFormats="0" applyAlignmentFormats="0" applyWidthHeightFormats="1" dataCaption="Values" tag="f3668536-d0a0-43db-9771-e21239bc33f5" updatedVersion="7" minRefreshableVersion="3" subtotalHiddenItems="1" itemPrintTitles="1" createdVersion="7" indent="0" outline="1" outlineData="1" multipleFieldFilters="0" chartFormat="4">
  <location ref="B36:C38" firstHeaderRow="1" firstDataRow="1" firstDataCol="1"/>
  <pivotFields count="5">
    <pivotField dataField="1" subtotalTop="0" showAll="0" defaultSubtotal="0"/>
    <pivotField axis="axisRow" allDrilled="1" subtotalTop="0" showAll="0" dataSourceSort="1" defaultSubtotal="0">
      <items count="1">
        <item x="0" e="0"/>
      </items>
    </pivotField>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1"/>
    <field x="2"/>
  </rowFields>
  <rowItems count="2">
    <i>
      <x/>
    </i>
    <i t="grand">
      <x/>
    </i>
  </rowItems>
  <colItems count="1">
    <i/>
  </colItems>
  <dataFields count="1">
    <dataField name="Count of Pat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B7819-958E-43CA-97F4-A4279694322A}" name="PivotTable11" cacheId="3" applyNumberFormats="0" applyBorderFormats="0" applyFontFormats="0" applyPatternFormats="0" applyAlignmentFormats="0" applyWidthHeightFormats="1" dataCaption="Values" tag="86e95afe-2090-4d3b-9f99-6397edd48b3e" updatedVersion="7" minRefreshableVersion="3" subtotalHiddenItems="1" itemPrintTitles="1" createdVersion="7" indent="0" outline="1" outlineData="1" multipleFieldFilters="0" chartFormat="88" rowHeaderCaption="Admission Status">
  <location ref="G16:H1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6">
      <pivotArea outline="0" collapsedLevelsAreSubtotals="1" fieldPosition="0"/>
    </format>
  </formats>
  <chartFormats count="9">
    <chartFormat chart="81" format="1" series="1">
      <pivotArea type="data" outline="0" fieldPosition="0">
        <references count="1">
          <reference field="4294967294" count="1" selected="0">
            <x v="0"/>
          </reference>
        </references>
      </pivotArea>
    </chartFormat>
    <chartFormat chart="81" format="2">
      <pivotArea type="data" outline="0" fieldPosition="0">
        <references count="2">
          <reference field="4294967294" count="1" selected="0">
            <x v="0"/>
          </reference>
          <reference field="2" count="1" selected="0">
            <x v="0"/>
          </reference>
        </references>
      </pivotArea>
    </chartFormat>
    <chartFormat chart="81" format="3">
      <pivotArea type="data" outline="0" fieldPosition="0">
        <references count="2">
          <reference field="4294967294" count="1" selected="0">
            <x v="0"/>
          </reference>
          <reference field="2" count="1" selected="0">
            <x v="1"/>
          </reference>
        </references>
      </pivotArea>
    </chartFormat>
    <chartFormat chart="82" format="4" series="1">
      <pivotArea type="data" outline="0" fieldPosition="0">
        <references count="1">
          <reference field="4294967294" count="1" selected="0">
            <x v="0"/>
          </reference>
        </references>
      </pivotArea>
    </chartFormat>
    <chartFormat chart="82" format="5">
      <pivotArea type="data" outline="0" fieldPosition="0">
        <references count="2">
          <reference field="4294967294" count="1" selected="0">
            <x v="0"/>
          </reference>
          <reference field="2" count="1" selected="0">
            <x v="0"/>
          </reference>
        </references>
      </pivotArea>
    </chartFormat>
    <chartFormat chart="82" format="6">
      <pivotArea type="data" outline="0" fieldPosition="0">
        <references count="2">
          <reference field="4294967294" count="1" selected="0">
            <x v="0"/>
          </reference>
          <reference field="2" count="1" selected="0">
            <x v="1"/>
          </reference>
        </references>
      </pivotArea>
    </chartFormat>
    <chartFormat chart="83" format="13" series="1">
      <pivotArea type="data" outline="0" fieldPosition="0">
        <references count="1">
          <reference field="4294967294" count="1" selected="0">
            <x v="0"/>
          </reference>
        </references>
      </pivotArea>
    </chartFormat>
    <chartFormat chart="83" format="14">
      <pivotArea type="data" outline="0" fieldPosition="0">
        <references count="2">
          <reference field="4294967294" count="1" selected="0">
            <x v="0"/>
          </reference>
          <reference field="2" count="1" selected="0">
            <x v="0"/>
          </reference>
        </references>
      </pivotArea>
    </chartFormat>
    <chartFormat chart="83" format="15">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5B73DE-3485-487B-B9C8-9E745B5628E1}" name="PivotTable1" cacheId="1" applyNumberFormats="0" applyBorderFormats="0" applyFontFormats="0" applyPatternFormats="0" applyAlignmentFormats="0" applyWidthHeightFormats="1" dataCaption="Values" tag="0b9786a6-e0ec-4f2f-9914-ce4a6a13eb99" updatedVersion="7" minRefreshableVersion="3" subtotalHiddenItems="1" itemPrintTitles="1" createdVersion="7"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ABCCF5-BA12-4F5B-BBA8-DEBB6BD11FB0}" name="PivotTable8" cacheId="10" applyNumberFormats="0" applyBorderFormats="0" applyFontFormats="0" applyPatternFormats="0" applyAlignmentFormats="0" applyWidthHeightFormats="1" dataCaption="Values" tag="5c15a741-225d-4b2f-b833-ab85395d10e0" updatedVersion="7" minRefreshableVersion="3" subtotalHiddenItems="1" itemPrintTitles="1" createdVersion="7" indent="0" outline="1" outlineData="1" multipleFieldFilters="0" chartFormat="4">
  <location ref="C2:D12"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Pat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7669A0-EDFF-4966-B45B-B48F818035AC}" name="PivotTable10" cacheId="2" applyNumberFormats="0" applyBorderFormats="0" applyFontFormats="0" applyPatternFormats="0" applyAlignmentFormats="0" applyWidthHeightFormats="1" dataCaption="Values" tag="f5897a60-f1f7-4c9c-9909-1cf473ae20e9" updatedVersion="7" minRefreshableVersion="3" subtotalHiddenItems="1" itemPrintTitles="1" createdVersion="7" indent="0" outline="1" outlineData="1" multipleFieldFilters="0" chartFormat="76" rowHeaderCaption="Admission Status">
  <location ref="A15:B2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7">
      <pivotArea outline="0" collapsedLevelsAreSubtotals="1" fieldPosition="0"/>
    </format>
  </formats>
  <chartFormats count="3">
    <chartFormat chart="71" format="1"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5B8138-6261-4A0B-B3C1-98FC9FAEC128}" name="PivotTable2" cacheId="6" applyNumberFormats="0" applyBorderFormats="0" applyFontFormats="0" applyPatternFormats="0" applyAlignmentFormats="0" applyWidthHeightFormats="1" dataCaption="Values" tag="e37a1872-2ccc-4fed-8c1b-b68895ccc697" updatedVersion="7" minRefreshableVersion="3" subtotalHiddenItems="1" itemPrintTitles="1" createdVersion="7"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217680-201C-4820-A4EF-192481290792}" name="PivotTable13" cacheId="5" applyNumberFormats="0" applyBorderFormats="0" applyFontFormats="0" applyPatternFormats="0" applyAlignmentFormats="0" applyWidthHeightFormats="1" dataCaption="Values" tag="e403c884-d1a7-4d9f-96ae-9354a1381877" updatedVersion="7" minRefreshableVersion="3" subtotalHiddenItems="1" itemPrintTitles="1" createdVersion="7" indent="0" outline="1" outlineData="1" multipleFieldFilters="0" chartFormat="96" rowHeaderCaption="Admission Status">
  <location ref="G22:H3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6"/>
    </i>
    <i>
      <x v="7"/>
    </i>
    <i>
      <x v="1"/>
    </i>
    <i>
      <x/>
    </i>
    <i>
      <x v="3"/>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9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caption="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54A734-56D5-469A-86F4-3CE866E7A61C}" name="PivotTable3" cacheId="7" applyNumberFormats="0" applyBorderFormats="0" applyFontFormats="0" applyPatternFormats="0" applyAlignmentFormats="0" applyWidthHeightFormats="1" dataCaption="Values" tag="31e24585-34ed-40df-ad67-fb3b7a6afd5a" updatedVersion="7" minRefreshableVersion="3" subtotalHiddenItems="1" itemPrintTitles="1" createdVersion="7"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
      <pivotArea outline="0" collapsedLevelsAreSubtotals="1" fieldPosition="0"/>
    </format>
  </formats>
  <pivotHierarchies count="33">
    <pivotHierarchy dragToData="1"/>
    <pivotHierarchy multipleItemSelectionAllowed="1" dragToData="1">
      <members count="1" level="1">
        <member name="[Calender Table].[Date (Month)].&amp;[Dec]"/>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997EA4-ED5C-417A-A89F-E0A7E602FC57}" name="PivotTable8" cacheId="12" applyNumberFormats="0" applyBorderFormats="0" applyFontFormats="0" applyPatternFormats="0" applyAlignmentFormats="0" applyWidthHeightFormats="1" dataCaption="Values" tag="cacf6427-3bc0-42fd-8e5d-bea0f5f9a14e" updatedVersion="7" minRefreshableVersion="3" useAutoFormatting="1" subtotalHiddenItems="1" itemPrintTitles="1" createdVersion="7" indent="0" outline="1" outlineData="1" multipleFieldFilters="0">
  <location ref="A3:A5" firstHeaderRow="1" firstDataRow="1" firstDataCol="1" rowPageCount="1" colPageCount="1"/>
  <pivotFields count="2">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0"/>
  </rowFields>
  <rowItems count="2">
    <i>
      <x/>
    </i>
    <i t="grand">
      <x/>
    </i>
  </rowItems>
  <pageFields count="1">
    <pageField fld="1" hier="3" name="[Calender Table].[Date (Year)].&amp;[2023]" cap="2023"/>
  </pageFields>
  <pivotHierarchies count="33">
    <pivotHierarchy dragToData="1"/>
    <pivotHierarchy multipleItemSelectionAllowed="1" dragToData="1"/>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alender Table">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2B0EF8B-5393-4152-9257-395011ADB3DC}" sourceName="[Calender Table].[Date (Month)]">
  <pivotTables>
    <pivotTable tabId="1" name="PivotTable8"/>
    <pivotTable tabId="1" name="PivotTable1"/>
    <pivotTable tabId="1" name="PivotTable2"/>
    <pivotTable tabId="1" name="PivotTable3"/>
    <pivotTable tabId="1" name="PivotTable4"/>
    <pivotTable tabId="1" name="PivotTable7"/>
    <pivotTable tabId="1" name="PivotTable9"/>
    <pivotTable tabId="1" name="PivotTable10"/>
    <pivotTable tabId="1" name="PivotTable11"/>
    <pivotTable tabId="1" name="PivotTable12"/>
    <pivotTable tabId="1" name="PivotTable13"/>
    <pivotTable tabId="1" name="PivotTable14"/>
    <pivotTable tabId="3" name="PivotTable8"/>
  </pivotTables>
  <data>
    <olap pivotCacheId="2038756373">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3B0019A-59EF-40D8-BF8A-5A47EB91A80F}" sourceName="[Calender 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 tabId="3" name="PivotTable8"/>
  </pivotTables>
  <data>
    <olap pivotCacheId="2038756373">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3E4A1F2-A43A-4DD0-9D01-691CD2C4633F}" cache="Slicer_Date__Month" caption="Date (Month)" showCaption="0" level="1" style="MyStyle" rowHeight="274320"/>
  <slicer name="Date (Year)" xr10:uid="{F2CED95F-B55D-413B-9FFF-675CE2F6E5C9}" cache="Slicer_Date__Year" caption="Year" columnCount="2" showCaption="0" level="1" style="MyStyle"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66206-26D2-491A-ACE7-E3A82DBCC52D}">
  <sheetPr codeName="Sheet1"/>
  <dimension ref="A1:J38"/>
  <sheetViews>
    <sheetView topLeftCell="A4" workbookViewId="0">
      <selection activeCell="G36" sqref="G36"/>
    </sheetView>
  </sheetViews>
  <sheetFormatPr defaultRowHeight="14.5" x14ac:dyDescent="0.35"/>
  <cols>
    <col min="1" max="1" width="17.08984375" customWidth="1"/>
    <col min="2" max="2" width="14.7265625" customWidth="1"/>
    <col min="3" max="3" width="10.81640625" customWidth="1"/>
    <col min="5" max="5" width="12.453125" customWidth="1"/>
    <col min="6" max="7" width="16.81640625" bestFit="1" customWidth="1"/>
    <col min="8" max="8" width="15.7265625" customWidth="1"/>
    <col min="9" max="9" width="17.1796875" bestFit="1" customWidth="1"/>
    <col min="10" max="10" width="31.90625" bestFit="1" customWidth="1"/>
    <col min="11" max="11" width="21.90625" bestFit="1" customWidth="1"/>
    <col min="12" max="12" width="31.90625" bestFit="1" customWidth="1"/>
    <col min="15" max="15" width="21.36328125" bestFit="1" customWidth="1"/>
    <col min="16" max="16" width="21.54296875" bestFit="1" customWidth="1"/>
  </cols>
  <sheetData>
    <row r="1" spans="1:10" x14ac:dyDescent="0.35">
      <c r="A1" t="s">
        <v>1</v>
      </c>
      <c r="C1" t="s">
        <v>6</v>
      </c>
      <c r="F1" t="s">
        <v>7</v>
      </c>
      <c r="I1" t="s">
        <v>8</v>
      </c>
    </row>
    <row r="2" spans="1:10" x14ac:dyDescent="0.35">
      <c r="A2" t="s">
        <v>0</v>
      </c>
      <c r="C2" s="2" t="s">
        <v>5</v>
      </c>
      <c r="D2" t="s">
        <v>0</v>
      </c>
      <c r="F2" s="2" t="s">
        <v>5</v>
      </c>
      <c r="G2" t="s">
        <v>2</v>
      </c>
      <c r="I2" s="2" t="s">
        <v>5</v>
      </c>
      <c r="J2" t="s">
        <v>3</v>
      </c>
    </row>
    <row r="3" spans="1:10" x14ac:dyDescent="0.35">
      <c r="A3" s="1">
        <v>159</v>
      </c>
      <c r="C3" s="5" t="s">
        <v>43</v>
      </c>
      <c r="D3" s="1">
        <v>30</v>
      </c>
      <c r="F3" s="5" t="s">
        <v>43</v>
      </c>
      <c r="G3" s="3">
        <v>36.93333333333333</v>
      </c>
      <c r="I3" s="5" t="s">
        <v>43</v>
      </c>
      <c r="J3" s="3">
        <v>5.75</v>
      </c>
    </row>
    <row r="4" spans="1:10" x14ac:dyDescent="0.35">
      <c r="C4" s="5" t="s">
        <v>44</v>
      </c>
      <c r="D4" s="1">
        <v>11</v>
      </c>
      <c r="F4" s="5" t="s">
        <v>44</v>
      </c>
      <c r="G4" s="3">
        <v>37.81818181818182</v>
      </c>
      <c r="I4" s="5" t="s">
        <v>44</v>
      </c>
      <c r="J4" s="3">
        <v>3.25</v>
      </c>
    </row>
    <row r="5" spans="1:10" x14ac:dyDescent="0.35">
      <c r="C5" s="5" t="s">
        <v>45</v>
      </c>
      <c r="D5" s="1">
        <v>20</v>
      </c>
      <c r="F5" s="5" t="s">
        <v>45</v>
      </c>
      <c r="G5" s="3">
        <v>32.549999999999997</v>
      </c>
      <c r="I5" s="5" t="s">
        <v>45</v>
      </c>
      <c r="J5" s="3">
        <v>3</v>
      </c>
    </row>
    <row r="6" spans="1:10" x14ac:dyDescent="0.35">
      <c r="A6" t="s">
        <v>2</v>
      </c>
      <c r="C6" s="5" t="s">
        <v>46</v>
      </c>
      <c r="D6" s="1">
        <v>14</v>
      </c>
      <c r="F6" s="5" t="s">
        <v>46</v>
      </c>
      <c r="G6" s="3">
        <v>32.428571428571431</v>
      </c>
      <c r="I6" s="5" t="s">
        <v>46</v>
      </c>
      <c r="J6" s="3">
        <v>4</v>
      </c>
    </row>
    <row r="7" spans="1:10" x14ac:dyDescent="0.35">
      <c r="A7" s="3">
        <v>34.924528301886795</v>
      </c>
      <c r="C7" s="5" t="s">
        <v>47</v>
      </c>
      <c r="D7" s="1">
        <v>21</v>
      </c>
      <c r="F7" s="5" t="s">
        <v>47</v>
      </c>
      <c r="G7" s="3">
        <v>32.333333333333336</v>
      </c>
      <c r="I7" s="5" t="s">
        <v>47</v>
      </c>
      <c r="J7" s="3">
        <v>4.7142857142857144</v>
      </c>
    </row>
    <row r="8" spans="1:10" x14ac:dyDescent="0.35">
      <c r="C8" s="5" t="s">
        <v>48</v>
      </c>
      <c r="D8" s="1">
        <v>10</v>
      </c>
      <c r="F8" s="5" t="s">
        <v>48</v>
      </c>
      <c r="G8" s="3">
        <v>35.200000000000003</v>
      </c>
      <c r="I8" s="5" t="s">
        <v>48</v>
      </c>
      <c r="J8" s="3">
        <v>1.5</v>
      </c>
    </row>
    <row r="9" spans="1:10" x14ac:dyDescent="0.35">
      <c r="A9" t="s">
        <v>3</v>
      </c>
      <c r="C9" s="5" t="s">
        <v>49</v>
      </c>
      <c r="D9" s="1">
        <v>18</v>
      </c>
      <c r="F9" s="5" t="s">
        <v>49</v>
      </c>
      <c r="G9" s="3">
        <v>41.055555555555557</v>
      </c>
      <c r="I9" s="5" t="s">
        <v>49</v>
      </c>
      <c r="J9" s="3">
        <v>3</v>
      </c>
    </row>
    <row r="10" spans="1:10" x14ac:dyDescent="0.35">
      <c r="A10" s="3">
        <v>3.9189189189189189</v>
      </c>
      <c r="C10" s="5" t="s">
        <v>53</v>
      </c>
      <c r="D10" s="1">
        <v>16</v>
      </c>
      <c r="F10" s="5" t="s">
        <v>53</v>
      </c>
      <c r="G10" s="3">
        <v>38.0625</v>
      </c>
      <c r="I10" s="5" t="s">
        <v>53</v>
      </c>
      <c r="J10" s="3">
        <v>3</v>
      </c>
    </row>
    <row r="11" spans="1:10" x14ac:dyDescent="0.35">
      <c r="C11" s="5" t="s">
        <v>54</v>
      </c>
      <c r="D11" s="1">
        <v>19</v>
      </c>
      <c r="F11" s="5" t="s">
        <v>54</v>
      </c>
      <c r="G11" s="3">
        <v>28.684210526315791</v>
      </c>
      <c r="I11" s="5" t="s">
        <v>54</v>
      </c>
      <c r="J11" s="3">
        <v>5.25</v>
      </c>
    </row>
    <row r="12" spans="1:10" x14ac:dyDescent="0.35">
      <c r="C12" s="5" t="s">
        <v>4</v>
      </c>
      <c r="D12" s="1">
        <v>159</v>
      </c>
      <c r="F12" s="5" t="s">
        <v>4</v>
      </c>
      <c r="G12" s="3">
        <v>34.924528301886795</v>
      </c>
      <c r="I12" s="5" t="s">
        <v>4</v>
      </c>
      <c r="J12" s="3">
        <v>3.9189189189189189</v>
      </c>
    </row>
    <row r="14" spans="1:10" x14ac:dyDescent="0.35">
      <c r="A14" t="s">
        <v>24</v>
      </c>
    </row>
    <row r="15" spans="1:10" x14ac:dyDescent="0.35">
      <c r="A15" s="2" t="s">
        <v>12</v>
      </c>
      <c r="B15" t="s">
        <v>23</v>
      </c>
      <c r="D15" t="s">
        <v>30</v>
      </c>
      <c r="G15" t="s">
        <v>29</v>
      </c>
    </row>
    <row r="16" spans="1:10" x14ac:dyDescent="0.35">
      <c r="A16" s="5" t="s">
        <v>15</v>
      </c>
      <c r="B16" s="7">
        <v>14</v>
      </c>
      <c r="D16" s="2" t="s">
        <v>12</v>
      </c>
      <c r="E16" t="s">
        <v>31</v>
      </c>
      <c r="G16" s="2" t="s">
        <v>12</v>
      </c>
      <c r="H16" t="s">
        <v>0</v>
      </c>
    </row>
    <row r="17" spans="1:8" x14ac:dyDescent="0.35">
      <c r="A17" s="5" t="s">
        <v>16</v>
      </c>
      <c r="B17" s="7">
        <v>26</v>
      </c>
      <c r="D17" s="5" t="s">
        <v>27</v>
      </c>
      <c r="E17" s="7">
        <v>75</v>
      </c>
      <c r="G17" s="5" t="s">
        <v>26</v>
      </c>
      <c r="H17" s="7">
        <v>87</v>
      </c>
    </row>
    <row r="18" spans="1:8" x14ac:dyDescent="0.35">
      <c r="A18" s="5" t="s">
        <v>17</v>
      </c>
      <c r="B18" s="7">
        <v>21</v>
      </c>
      <c r="D18" s="5" t="s">
        <v>28</v>
      </c>
      <c r="E18" s="7">
        <v>84</v>
      </c>
      <c r="G18" s="5" t="s">
        <v>25</v>
      </c>
      <c r="H18" s="7">
        <v>72</v>
      </c>
    </row>
    <row r="19" spans="1:8" x14ac:dyDescent="0.35">
      <c r="A19" s="5" t="s">
        <v>18</v>
      </c>
      <c r="B19" s="7">
        <v>19</v>
      </c>
      <c r="D19" s="5" t="s">
        <v>4</v>
      </c>
      <c r="E19" s="7">
        <v>159</v>
      </c>
      <c r="G19" s="5" t="s">
        <v>4</v>
      </c>
      <c r="H19" s="7">
        <v>159</v>
      </c>
    </row>
    <row r="20" spans="1:8" x14ac:dyDescent="0.35">
      <c r="A20" s="5" t="s">
        <v>19</v>
      </c>
      <c r="B20" s="7">
        <v>22</v>
      </c>
    </row>
    <row r="21" spans="1:8" x14ac:dyDescent="0.35">
      <c r="A21" s="5" t="s">
        <v>20</v>
      </c>
      <c r="B21" s="7">
        <v>15</v>
      </c>
      <c r="G21" s="5" t="s">
        <v>40</v>
      </c>
    </row>
    <row r="22" spans="1:8" x14ac:dyDescent="0.35">
      <c r="A22" s="5" t="s">
        <v>21</v>
      </c>
      <c r="B22" s="7">
        <v>23</v>
      </c>
      <c r="G22" s="2" t="s">
        <v>12</v>
      </c>
      <c r="H22" t="s">
        <v>39</v>
      </c>
    </row>
    <row r="23" spans="1:8" x14ac:dyDescent="0.35">
      <c r="A23" s="5" t="s">
        <v>22</v>
      </c>
      <c r="B23" s="7">
        <v>19</v>
      </c>
      <c r="G23" s="5" t="s">
        <v>38</v>
      </c>
      <c r="H23" s="7">
        <v>3</v>
      </c>
    </row>
    <row r="24" spans="1:8" x14ac:dyDescent="0.35">
      <c r="A24" s="5" t="s">
        <v>4</v>
      </c>
      <c r="B24" s="7">
        <v>159</v>
      </c>
      <c r="G24" s="5" t="s">
        <v>52</v>
      </c>
      <c r="H24" s="7">
        <v>3</v>
      </c>
    </row>
    <row r="25" spans="1:8" x14ac:dyDescent="0.35">
      <c r="G25" s="5" t="s">
        <v>33</v>
      </c>
      <c r="H25" s="7">
        <v>4</v>
      </c>
    </row>
    <row r="26" spans="1:8" ht="15.5" x14ac:dyDescent="0.35">
      <c r="A26" s="12" t="s">
        <v>12</v>
      </c>
      <c r="B26" s="13" t="s">
        <v>14</v>
      </c>
      <c r="C26" s="13" t="s">
        <v>13</v>
      </c>
      <c r="D26" s="13"/>
      <c r="E26" s="14"/>
      <c r="G26" s="5" t="s">
        <v>32</v>
      </c>
      <c r="H26" s="7">
        <v>5</v>
      </c>
    </row>
    <row r="27" spans="1:8" ht="15.5" x14ac:dyDescent="0.35">
      <c r="A27" s="10" t="str">
        <f>A33</f>
        <v>Not Admitted</v>
      </c>
      <c r="B27" s="10">
        <f>B33</f>
        <v>85</v>
      </c>
      <c r="C27" s="11">
        <f>C33</f>
        <v>0.53459119496855345</v>
      </c>
      <c r="D27" s="10"/>
      <c r="E27" s="9"/>
      <c r="G27" s="5" t="s">
        <v>35</v>
      </c>
      <c r="H27" s="7">
        <v>6</v>
      </c>
    </row>
    <row r="28" spans="1:8" ht="15.5" x14ac:dyDescent="0.35">
      <c r="A28" s="10" t="str">
        <f>A32</f>
        <v>Admitted</v>
      </c>
      <c r="B28" s="10">
        <f>B32</f>
        <v>74</v>
      </c>
      <c r="C28" s="11">
        <f>C32</f>
        <v>0.46540880503144655</v>
      </c>
      <c r="D28" s="10"/>
      <c r="E28" s="9"/>
      <c r="G28" s="5" t="s">
        <v>37</v>
      </c>
      <c r="H28" s="7">
        <v>13</v>
      </c>
    </row>
    <row r="29" spans="1:8" x14ac:dyDescent="0.35">
      <c r="G29" s="5" t="s">
        <v>34</v>
      </c>
      <c r="H29" s="7">
        <v>41</v>
      </c>
    </row>
    <row r="30" spans="1:8" x14ac:dyDescent="0.35">
      <c r="A30" t="s">
        <v>41</v>
      </c>
      <c r="G30" s="5" t="s">
        <v>36</v>
      </c>
      <c r="H30" s="7">
        <v>84</v>
      </c>
    </row>
    <row r="31" spans="1:8" x14ac:dyDescent="0.35">
      <c r="A31" s="2" t="s">
        <v>12</v>
      </c>
      <c r="B31" t="s">
        <v>11</v>
      </c>
      <c r="C31" t="s">
        <v>13</v>
      </c>
      <c r="G31" s="5" t="s">
        <v>4</v>
      </c>
      <c r="H31" s="7">
        <v>159</v>
      </c>
    </row>
    <row r="32" spans="1:8" x14ac:dyDescent="0.35">
      <c r="A32" s="5" t="s">
        <v>9</v>
      </c>
      <c r="B32" s="6">
        <v>74</v>
      </c>
      <c r="C32" s="8">
        <v>0.46540880503144655</v>
      </c>
    </row>
    <row r="33" spans="1:3" x14ac:dyDescent="0.35">
      <c r="A33" s="5" t="s">
        <v>10</v>
      </c>
      <c r="B33" s="6">
        <v>85</v>
      </c>
      <c r="C33" s="8">
        <v>0.53459119496855345</v>
      </c>
    </row>
    <row r="34" spans="1:3" x14ac:dyDescent="0.35">
      <c r="A34" s="5" t="s">
        <v>4</v>
      </c>
      <c r="B34" s="6">
        <v>159</v>
      </c>
      <c r="C34" s="8">
        <v>1</v>
      </c>
    </row>
    <row r="36" spans="1:3" x14ac:dyDescent="0.35">
      <c r="B36" s="2" t="s">
        <v>5</v>
      </c>
      <c r="C36" t="s">
        <v>0</v>
      </c>
    </row>
    <row r="37" spans="1:3" x14ac:dyDescent="0.35">
      <c r="B37" s="5" t="s">
        <v>51</v>
      </c>
      <c r="C37" s="1">
        <v>159</v>
      </c>
    </row>
    <row r="38" spans="1:3" x14ac:dyDescent="0.35">
      <c r="B38" s="5" t="s">
        <v>4</v>
      </c>
      <c r="C38" s="1">
        <v>159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34E5-B4CB-4FAD-B386-5E7C2A1341EF}">
  <sheetPr codeName="Sheet2"/>
  <dimension ref="A1:AD31"/>
  <sheetViews>
    <sheetView tabSelected="1" zoomScale="93" zoomScaleNormal="93" workbookViewId="0">
      <selection activeCell="U22" sqref="U22"/>
    </sheetView>
  </sheetViews>
  <sheetFormatPr defaultRowHeight="14.5" x14ac:dyDescent="0.35"/>
  <sheetData>
    <row r="1" spans="1:30"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35">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x14ac:dyDescent="0.35">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x14ac:dyDescent="0.35">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x14ac:dyDescent="0.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1:30"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30"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spans="1:30"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1:30"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1:30"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1:30"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spans="1:30"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1:30"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30"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30"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A56D-7089-4ADE-A0B2-D3F7A847126A}">
  <dimension ref="A1:F5"/>
  <sheetViews>
    <sheetView workbookViewId="0">
      <selection activeCell="F2" sqref="F2"/>
    </sheetView>
  </sheetViews>
  <sheetFormatPr defaultRowHeight="14.5" x14ac:dyDescent="0.35"/>
  <cols>
    <col min="1" max="1" width="12.36328125" bestFit="1" customWidth="1"/>
    <col min="2" max="2" width="7.08984375" bestFit="1" customWidth="1"/>
    <col min="6" max="6" width="25.6328125" bestFit="1" customWidth="1"/>
  </cols>
  <sheetData>
    <row r="1" spans="1:6" x14ac:dyDescent="0.35">
      <c r="A1" s="2" t="s">
        <v>42</v>
      </c>
      <c r="B1" t="s" vm="1">
        <v>51</v>
      </c>
    </row>
    <row r="2" spans="1:6" x14ac:dyDescent="0.35">
      <c r="D2" t="str">
        <f>A4</f>
        <v>Dec</v>
      </c>
      <c r="E2" t="str" vm="1">
        <f>B1</f>
        <v>2023</v>
      </c>
      <c r="F2" t="str">
        <f>TEXT(DATEVALUE("1-"&amp;D2&amp;"-"&amp;E2),"mmmm yyyy")&amp;" Monthly Report"</f>
        <v>December 2023 Monthly Report</v>
      </c>
    </row>
    <row r="3" spans="1:6" x14ac:dyDescent="0.35">
      <c r="A3" s="2" t="s">
        <v>5</v>
      </c>
    </row>
    <row r="4" spans="1:6" x14ac:dyDescent="0.35">
      <c r="A4" s="5" t="s">
        <v>50</v>
      </c>
    </row>
    <row r="5" spans="1:6" x14ac:dyDescent="0.35">
      <c r="A5" s="5" t="s">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100C56A-73F8-4923-8F4B-C715397A8AEC}">
  <ds:schemaRefs/>
</ds:datastoreItem>
</file>

<file path=customXml/itemProps2.xml><?xml version="1.0" encoding="utf-8"?>
<ds:datastoreItem xmlns:ds="http://schemas.openxmlformats.org/officeDocument/2006/customXml" ds:itemID="{0A810F2A-2233-4A65-82D1-97BF676D56D3}">
  <ds:schemaRefs/>
</ds:datastoreItem>
</file>

<file path=customXml/itemProps3.xml><?xml version="1.0" encoding="utf-8"?>
<ds:datastoreItem xmlns:ds="http://schemas.openxmlformats.org/officeDocument/2006/customXml" ds:itemID="{62F02181-167D-4C10-832D-3AE5C0F10961}">
  <ds:schemaRefs/>
</ds:datastoreItem>
</file>

<file path=customXml/itemProps4.xml><?xml version="1.0" encoding="utf-8"?>
<ds:datastoreItem xmlns:ds="http://schemas.openxmlformats.org/officeDocument/2006/customXml" ds:itemID="{C706812F-2B89-4427-8556-7F83AD427808}">
  <ds:schemaRefs/>
</ds:datastoreItem>
</file>

<file path=customXml/itemProps5.xml><?xml version="1.0" encoding="utf-8"?>
<ds:datastoreItem xmlns:ds="http://schemas.openxmlformats.org/officeDocument/2006/customXml" ds:itemID="{EF269486-33B3-48BB-88C2-9A52FFAB9D99}">
  <ds:schemaRefs/>
</ds:datastoreItem>
</file>

<file path=customXml/itemProps6.xml><?xml version="1.0" encoding="utf-8"?>
<ds:datastoreItem xmlns:ds="http://schemas.openxmlformats.org/officeDocument/2006/customXml" ds:itemID="{44BA348A-AA5D-49B5-8DF0-AA419837DF4E}">
  <ds:schemaRefs>
    <ds:schemaRef ds:uri="http://schemas.microsoft.com/DataMashup"/>
  </ds:schemaRefs>
</ds:datastoreItem>
</file>

<file path=customXml/itemProps7.xml><?xml version="1.0" encoding="utf-8"?>
<ds:datastoreItem xmlns:ds="http://schemas.openxmlformats.org/officeDocument/2006/customXml" ds:itemID="{5326FDC9-8936-40E9-8142-24577E282B67}">
  <ds:schemaRefs/>
</ds:datastoreItem>
</file>

<file path=customXml/itemProps8.xml><?xml version="1.0" encoding="utf-8"?>
<ds:datastoreItem xmlns:ds="http://schemas.openxmlformats.org/officeDocument/2006/customXml" ds:itemID="{F7412FC1-3681-4540-9236-60A6280FFE10}">
  <ds:schemaRefs/>
</ds:datastoreItem>
</file>

<file path=customXml/itemProps9.xml><?xml version="1.0" encoding="utf-8"?>
<ds:datastoreItem xmlns:ds="http://schemas.openxmlformats.org/officeDocument/2006/customXml" ds:itemID="{CD1ADBBC-1B7B-48C0-BD7E-C514A494510F}">
  <ds:schemaRefs/>
</ds:datastoreItem>
</file>

<file path=customXml/itemProps10.xml><?xml version="1.0" encoding="utf-8"?>
<ds:datastoreItem xmlns:ds="http://schemas.openxmlformats.org/officeDocument/2006/customXml" ds:itemID="{E213EA64-E590-4B02-B35E-A01A19989416}">
  <ds:schemaRefs/>
</ds:datastoreItem>
</file>

<file path=customXml/itemProps11.xml><?xml version="1.0" encoding="utf-8"?>
<ds:datastoreItem xmlns:ds="http://schemas.openxmlformats.org/officeDocument/2006/customXml" ds:itemID="{C90EB865-7D3A-484F-BAAD-F878A519F211}">
  <ds:schemaRefs/>
</ds:datastoreItem>
</file>

<file path=customXml/itemProps12.xml><?xml version="1.0" encoding="utf-8"?>
<ds:datastoreItem xmlns:ds="http://schemas.openxmlformats.org/officeDocument/2006/customXml" ds:itemID="{9582D4E6-65DA-4502-B0B2-533D8C37FA48}">
  <ds:schemaRefs/>
</ds:datastoreItem>
</file>

<file path=customXml/itemProps13.xml><?xml version="1.0" encoding="utf-8"?>
<ds:datastoreItem xmlns:ds="http://schemas.openxmlformats.org/officeDocument/2006/customXml" ds:itemID="{4E771EA7-5A31-4615-86A0-05B746400058}">
  <ds:schemaRefs/>
</ds:datastoreItem>
</file>

<file path=customXml/itemProps14.xml><?xml version="1.0" encoding="utf-8"?>
<ds:datastoreItem xmlns:ds="http://schemas.openxmlformats.org/officeDocument/2006/customXml" ds:itemID="{E18DEED2-34C9-4859-8A67-82D4A3AA6B46}">
  <ds:schemaRefs/>
</ds:datastoreItem>
</file>

<file path=customXml/itemProps15.xml><?xml version="1.0" encoding="utf-8"?>
<ds:datastoreItem xmlns:ds="http://schemas.openxmlformats.org/officeDocument/2006/customXml" ds:itemID="{45081A85-55EB-4997-B069-F0D198570AAF}">
  <ds:schemaRefs/>
</ds:datastoreItem>
</file>

<file path=customXml/itemProps16.xml><?xml version="1.0" encoding="utf-8"?>
<ds:datastoreItem xmlns:ds="http://schemas.openxmlformats.org/officeDocument/2006/customXml" ds:itemID="{D9B27BC1-CA15-4935-9B9E-E1DBD5945263}">
  <ds:schemaRefs/>
</ds:datastoreItem>
</file>

<file path=customXml/itemProps17.xml><?xml version="1.0" encoding="utf-8"?>
<ds:datastoreItem xmlns:ds="http://schemas.openxmlformats.org/officeDocument/2006/customXml" ds:itemID="{B5F089B9-5F00-4CC4-81B5-A27A942C51B7}">
  <ds:schemaRefs/>
</ds:datastoreItem>
</file>

<file path=customXml/itemProps18.xml><?xml version="1.0" encoding="utf-8"?>
<ds:datastoreItem xmlns:ds="http://schemas.openxmlformats.org/officeDocument/2006/customXml" ds:itemID="{25D8192A-CD72-4AC1-90AE-1224219107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Helper_Pivottable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2026-09-09T16:49:23Z</dcterms:created>
  <dcterms:modified xsi:type="dcterms:W3CDTF">2026-09-11T07:25:16Z</dcterms:modified>
</cp:coreProperties>
</file>